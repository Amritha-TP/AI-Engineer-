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3C7803CE-3354-470A-9954-DAD9F04FAFD1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CH 1 -TRIP PLANNER(T1)" sheetId="1" r:id="rId1"/>
    <sheet name="CH 2 - REVENUE(T1)" sheetId="2" r:id="rId2"/>
    <sheet name="Ch 3 CLEANUP(T1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2" i="3" l="1"/>
  <c r="N2" i="3"/>
  <c r="M2" i="3"/>
  <c r="L2" i="3"/>
  <c r="K2" i="3"/>
  <c r="J2" i="3"/>
  <c r="I2" i="3"/>
  <c r="H2" i="3"/>
  <c r="D8" i="3"/>
  <c r="I3" i="3"/>
  <c r="I4" i="3"/>
  <c r="I5" i="3"/>
  <c r="I6" i="3"/>
  <c r="I7" i="3"/>
  <c r="I8" i="3"/>
  <c r="I9" i="3"/>
  <c r="I10" i="3"/>
  <c r="I11" i="3"/>
  <c r="D4" i="3"/>
  <c r="B11" i="3"/>
  <c r="O3" i="3"/>
  <c r="O4" i="3"/>
  <c r="O5" i="3"/>
  <c r="O6" i="3"/>
  <c r="O7" i="3"/>
  <c r="O8" i="3"/>
  <c r="O9" i="3"/>
  <c r="O10" i="3"/>
  <c r="O11" i="3"/>
  <c r="N3" i="3"/>
  <c r="N4" i="3"/>
  <c r="N5" i="3"/>
  <c r="N6" i="3"/>
  <c r="N7" i="3"/>
  <c r="N8" i="3"/>
  <c r="N9" i="3"/>
  <c r="N10" i="3"/>
  <c r="N11" i="3"/>
  <c r="M3" i="3"/>
  <c r="M4" i="3"/>
  <c r="M5" i="3"/>
  <c r="M6" i="3"/>
  <c r="M7" i="3"/>
  <c r="M8" i="3"/>
  <c r="M9" i="3"/>
  <c r="M10" i="3"/>
  <c r="M11" i="3"/>
  <c r="L3" i="3"/>
  <c r="L4" i="3"/>
  <c r="L5" i="3"/>
  <c r="L6" i="3"/>
  <c r="L7" i="3"/>
  <c r="L8" i="3"/>
  <c r="L9" i="3"/>
  <c r="L10" i="3"/>
  <c r="L11" i="3"/>
  <c r="K3" i="3"/>
  <c r="K4" i="3"/>
  <c r="K5" i="3"/>
  <c r="K6" i="3"/>
  <c r="K7" i="3"/>
  <c r="K8" i="3"/>
  <c r="K9" i="3"/>
  <c r="K10" i="3"/>
  <c r="K11" i="3"/>
  <c r="J3" i="3"/>
  <c r="J4" i="3"/>
  <c r="J5" i="3"/>
  <c r="J6" i="3"/>
  <c r="J7" i="3"/>
  <c r="J8" i="3"/>
  <c r="J9" i="3"/>
  <c r="J10" i="3"/>
  <c r="J11" i="3"/>
  <c r="H3" i="3"/>
  <c r="H4" i="3"/>
  <c r="H5" i="3"/>
  <c r="H6" i="3"/>
  <c r="H7" i="3"/>
  <c r="H8" i="3"/>
  <c r="H9" i="3"/>
  <c r="H10" i="3"/>
  <c r="H11" i="3"/>
  <c r="I7" i="2"/>
  <c r="I6" i="2"/>
  <c r="I4" i="2"/>
  <c r="I5" i="2"/>
  <c r="I2" i="2"/>
  <c r="E3" i="2"/>
  <c r="E4" i="2"/>
  <c r="E5" i="2"/>
  <c r="E6" i="2"/>
  <c r="E7" i="2"/>
  <c r="E8" i="2"/>
  <c r="E9" i="2"/>
  <c r="E10" i="2"/>
  <c r="E11" i="2"/>
  <c r="E2" i="2"/>
  <c r="F18" i="1"/>
  <c r="J15" i="1"/>
  <c r="F17" i="1"/>
  <c r="F16" i="1"/>
  <c r="J7" i="1"/>
  <c r="J8" i="1"/>
  <c r="J9" i="1"/>
  <c r="J10" i="1"/>
  <c r="J11" i="1"/>
  <c r="J12" i="1"/>
  <c r="J13" i="1"/>
  <c r="J6" i="1"/>
  <c r="I3" i="2" l="1"/>
</calcChain>
</file>

<file path=xl/sharedStrings.xml><?xml version="1.0" encoding="utf-8"?>
<sst xmlns="http://schemas.openxmlformats.org/spreadsheetml/2006/main" count="150" uniqueCount="126">
  <si>
    <t>TRIP PLANNER</t>
  </si>
  <si>
    <t>SOURCE</t>
  </si>
  <si>
    <t xml:space="preserve">DESTINATION </t>
  </si>
  <si>
    <t>DEPARTURE_DATE</t>
  </si>
  <si>
    <t>RETURN_DATE</t>
  </si>
  <si>
    <t>HOTEL_NAME</t>
  </si>
  <si>
    <t>FLIGHT COST</t>
  </si>
  <si>
    <t>HOTEL_COST</t>
  </si>
  <si>
    <t>TOTAL_TRIP_COST</t>
  </si>
  <si>
    <t>THRICHY</t>
  </si>
  <si>
    <t>CHENNAI</t>
  </si>
  <si>
    <t>LAL STAY</t>
  </si>
  <si>
    <t>PUNE</t>
  </si>
  <si>
    <t>18/6/2026</t>
  </si>
  <si>
    <t>MOUNTAIN VIEW</t>
  </si>
  <si>
    <t>GOA</t>
  </si>
  <si>
    <t>26/6/2026</t>
  </si>
  <si>
    <t>SEA STAY</t>
  </si>
  <si>
    <t>SIMLA</t>
  </si>
  <si>
    <t>SNOW WHITE</t>
  </si>
  <si>
    <t>MANALI</t>
  </si>
  <si>
    <t>TERRAIN STAY</t>
  </si>
  <si>
    <t>HIMACHAL</t>
  </si>
  <si>
    <t>REST TERRAIN</t>
  </si>
  <si>
    <t>RAJ BHAVAN</t>
  </si>
  <si>
    <t>TOTAL</t>
  </si>
  <si>
    <t>OVERALL FLIGHT COST</t>
  </si>
  <si>
    <t>OVERALL HOTEL COST</t>
  </si>
  <si>
    <t>Product ID</t>
  </si>
  <si>
    <t>Product Name</t>
  </si>
  <si>
    <t>Quantity Sold</t>
  </si>
  <si>
    <t>Unit Price</t>
  </si>
  <si>
    <t>Revenue</t>
  </si>
  <si>
    <t>P001</t>
  </si>
  <si>
    <t>Laptop</t>
  </si>
  <si>
    <t>Total quantity sold</t>
  </si>
  <si>
    <t>P002</t>
  </si>
  <si>
    <t>Mouse</t>
  </si>
  <si>
    <t>Highest revenue</t>
  </si>
  <si>
    <t>P003</t>
  </si>
  <si>
    <t>Keyboard</t>
  </si>
  <si>
    <t>lowest revenue</t>
  </si>
  <si>
    <t>P004</t>
  </si>
  <si>
    <t>Monitor 24"</t>
  </si>
  <si>
    <t>how many products were sold</t>
  </si>
  <si>
    <t>P005</t>
  </si>
  <si>
    <t>USB Cable</t>
  </si>
  <si>
    <t>Average Revenue</t>
  </si>
  <si>
    <t>P006</t>
  </si>
  <si>
    <t>Headphones</t>
  </si>
  <si>
    <t>Calculate revenue again using Formula = Quantity Sold × Unit Price</t>
  </si>
  <si>
    <t>P007</t>
  </si>
  <si>
    <t>Printer</t>
  </si>
  <si>
    <t>P008</t>
  </si>
  <si>
    <t>Pen Drive 32GB</t>
  </si>
  <si>
    <t>P009</t>
  </si>
  <si>
    <t>Webcam</t>
  </si>
  <si>
    <t>P010</t>
  </si>
  <si>
    <t>Speakers</t>
  </si>
  <si>
    <t>Employee ID</t>
  </si>
  <si>
    <t>Employee Name</t>
  </si>
  <si>
    <t>Phone Number</t>
  </si>
  <si>
    <t>Email</t>
  </si>
  <si>
    <t>Department</t>
  </si>
  <si>
    <t>Joining Date</t>
  </si>
  <si>
    <t>Status</t>
  </si>
  <si>
    <t>EMPID WITH EMP</t>
  </si>
  <si>
    <t>First Name</t>
  </si>
  <si>
    <t>Last Name</t>
  </si>
  <si>
    <t>is phone number valid</t>
  </si>
  <si>
    <t>is mail id black</t>
  </si>
  <si>
    <t>is the mail id valid</t>
  </si>
  <si>
    <t>EMPNAME+EMPID</t>
  </si>
  <si>
    <t>NAME+ID+DEPT</t>
  </si>
  <si>
    <t>emp001</t>
  </si>
  <si>
    <t>Rahul Sharma</t>
  </si>
  <si>
    <t>rahul.sharma@company.com</t>
  </si>
  <si>
    <t>Sales</t>
  </si>
  <si>
    <t>Active</t>
  </si>
  <si>
    <t>EMP-002</t>
  </si>
  <si>
    <t>Anita Singh</t>
  </si>
  <si>
    <t>anita.singhcompany.com</t>
  </si>
  <si>
    <t>HR</t>
  </si>
  <si>
    <t>EMP003</t>
  </si>
  <si>
    <t>David Mathews</t>
  </si>
  <si>
    <t>IT</t>
  </si>
  <si>
    <t>Emp004</t>
  </si>
  <si>
    <t>Sunil Kumar</t>
  </si>
  <si>
    <t>sunil.kumar@company.com</t>
  </si>
  <si>
    <t>Finance</t>
  </si>
  <si>
    <t>Inactive</t>
  </si>
  <si>
    <t>EMP 005</t>
  </si>
  <si>
    <t>Priya R</t>
  </si>
  <si>
    <t>priya.r@company.com</t>
  </si>
  <si>
    <t>Marketing</t>
  </si>
  <si>
    <t>EMP006</t>
  </si>
  <si>
    <t>Aman Verma</t>
  </si>
  <si>
    <t>aman.verma@company.com</t>
  </si>
  <si>
    <t>emp007</t>
  </si>
  <si>
    <t>Maria Lopez</t>
  </si>
  <si>
    <t>EMP008</t>
  </si>
  <si>
    <t>John Paul</t>
  </si>
  <si>
    <t>john.paul@company</t>
  </si>
  <si>
    <t>emp009</t>
  </si>
  <si>
    <t>Khushi Jain</t>
  </si>
  <si>
    <t>khushi.jain@company.com</t>
  </si>
  <si>
    <t>EMP010</t>
  </si>
  <si>
    <t>rohan.m@company.com</t>
  </si>
  <si>
    <t>QUESTION</t>
  </si>
  <si>
    <t>FORMULA</t>
  </si>
  <si>
    <t>Check if the Employee ID starts with “EMP” using the LEFT function.</t>
  </si>
  <si>
    <t>==&gt;=IF(LEFT(A2,3)="EMP","YES","NO")</t>
  </si>
  <si>
    <t xml:space="preserve">NOTE: ANSWER IS TYPED IN THE ABOVE CELLS </t>
  </si>
  <si>
    <t>Extract the first name from the Employee Name column.</t>
  </si>
  <si>
    <t>=&gt;=LEFT(B2,FIND(" ",B2)-1)</t>
  </si>
  <si>
    <t>Extract the last name from the Employee Name column.</t>
  </si>
  <si>
    <t>=&gt;=RIGHT(B2,LEN(B2)-FIND(" ",B2))</t>
  </si>
  <si>
    <t>Use AND to validate that the phone number contains exactly 10 digits.</t>
  </si>
  <si>
    <t>=&gt;=IF(AND(LEN(C2)=10,ISNUMBER(C2)),"valid","not Valid")</t>
  </si>
  <si>
    <t>Use ISBLANK to identify employees with missing email IDs.</t>
  </si>
  <si>
    <t>=&gt;=ISBLANK(D2)</t>
  </si>
  <si>
    <t>Use OR to check if an email is invalid (missing “@” or blank).</t>
  </si>
  <si>
    <t>=&gt;=IF(OR(ISBLANK(D2),ISERROR(FIND("@",D2))),"Invalid mail id","Valid mail id")</t>
  </si>
  <si>
    <t>Use CONCAT to combine Employee Name and Employee ID into a single text field.</t>
  </si>
  <si>
    <t>=&gt;=TEXTJOIN(" ",TRUE,B2,A2,E2)</t>
  </si>
  <si>
    <t>Use TEXTJOIN to create a single-line summary of Employee Name, ID, and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</si>
</sst>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.00"/>
    <numFmt numFmtId="165" formatCode="&quot;$&quot;#,##0.00"/>
  </numFmts>
  <fonts count="9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u/>
      <sz val="11"/>
      <color theme="10"/>
      <name val="Calibri"/>
      <family val="2"/>
      <scheme val="minor"/>
    </font>
    <font>
      <b/>
      <sz val="10"/>
      <color rgb="FF000000"/>
      <name val="Aptos Narrow"/>
      <charset val="1"/>
    </font>
    <font>
      <sz val="10"/>
      <color rgb="FF000000"/>
      <name val="Aptos Narrow"/>
      <charset val="1"/>
    </font>
    <font>
      <sz val="10"/>
      <color theme="1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2" fillId="4" borderId="0" xfId="0" applyFont="1" applyFill="1"/>
    <xf numFmtId="0" fontId="1" fillId="5" borderId="0" xfId="0" applyFont="1" applyFill="1"/>
    <xf numFmtId="0" fontId="0" fillId="5" borderId="0" xfId="0" applyFill="1"/>
    <xf numFmtId="164" fontId="0" fillId="6" borderId="0" xfId="0" applyNumberFormat="1" applyFill="1"/>
    <xf numFmtId="0" fontId="0" fillId="0" borderId="0" xfId="0" applyFill="1"/>
    <xf numFmtId="0" fontId="3" fillId="0" borderId="1" xfId="0" applyFont="1" applyBorder="1"/>
    <xf numFmtId="0" fontId="4" fillId="0" borderId="1" xfId="0" applyFont="1" applyBorder="1"/>
    <xf numFmtId="0" fontId="0" fillId="0" borderId="0" xfId="0" applyAlignment="1">
      <alignment wrapText="1"/>
    </xf>
    <xf numFmtId="0" fontId="1" fillId="0" borderId="0" xfId="0" applyFont="1"/>
    <xf numFmtId="165" fontId="4" fillId="0" borderId="1" xfId="0" applyNumberFormat="1" applyFont="1" applyBorder="1"/>
    <xf numFmtId="165" fontId="3" fillId="0" borderId="1" xfId="0" applyNumberFormat="1" applyFont="1" applyBorder="1"/>
    <xf numFmtId="165" fontId="0" fillId="0" borderId="0" xfId="0" applyNumberFormat="1"/>
    <xf numFmtId="165" fontId="0" fillId="2" borderId="0" xfId="0" applyNumberFormat="1" applyFill="1"/>
    <xf numFmtId="0" fontId="1" fillId="2" borderId="0" xfId="0" applyFont="1" applyFill="1"/>
    <xf numFmtId="0" fontId="0" fillId="2" borderId="0" xfId="0" applyFill="1" applyAlignment="1">
      <alignment wrapText="1"/>
    </xf>
    <xf numFmtId="0" fontId="6" fillId="0" borderId="1" xfId="0" applyFont="1" applyBorder="1"/>
    <xf numFmtId="0" fontId="7" fillId="0" borderId="1" xfId="0" applyFont="1" applyBorder="1"/>
    <xf numFmtId="0" fontId="5" fillId="0" borderId="1" xfId="1" applyBorder="1"/>
    <xf numFmtId="14" fontId="7" fillId="0" borderId="1" xfId="0" applyNumberFormat="1" applyFont="1" applyBorder="1"/>
    <xf numFmtId="0" fontId="8" fillId="0" borderId="1" xfId="0" applyFont="1" applyBorder="1"/>
    <xf numFmtId="0" fontId="0" fillId="7" borderId="0" xfId="0" applyFill="1"/>
    <xf numFmtId="0" fontId="0" fillId="8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.r@company.com" TargetMode="External"/><Relationship Id="rId2" Type="http://schemas.openxmlformats.org/officeDocument/2006/relationships/hyperlink" Target="mailto:sunil.kumar@company.com" TargetMode="External"/><Relationship Id="rId1" Type="http://schemas.openxmlformats.org/officeDocument/2006/relationships/hyperlink" Target="mailto:rahul.sharma@company.com" TargetMode="External"/><Relationship Id="rId6" Type="http://schemas.openxmlformats.org/officeDocument/2006/relationships/hyperlink" Target="mailto:rohan.m@company.com" TargetMode="External"/><Relationship Id="rId5" Type="http://schemas.openxmlformats.org/officeDocument/2006/relationships/hyperlink" Target="mailto:khushi.jain@company.com" TargetMode="External"/><Relationship Id="rId4" Type="http://schemas.openxmlformats.org/officeDocument/2006/relationships/hyperlink" Target="mailto:aman.verm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20"/>
  <sheetViews>
    <sheetView workbookViewId="0">
      <selection activeCell="D22" sqref="D22"/>
    </sheetView>
  </sheetViews>
  <sheetFormatPr defaultRowHeight="15"/>
  <cols>
    <col min="3" max="3" width="10.42578125" bestFit="1" customWidth="1"/>
    <col min="4" max="4" width="13.28515625" bestFit="1" customWidth="1"/>
    <col min="5" max="5" width="20.42578125" bestFit="1" customWidth="1"/>
    <col min="6" max="6" width="13.7109375" bestFit="1" customWidth="1"/>
    <col min="7" max="7" width="16.28515625" bestFit="1" customWidth="1"/>
    <col min="8" max="8" width="12.140625" bestFit="1" customWidth="1"/>
    <col min="9" max="9" width="12.28515625" bestFit="1" customWidth="1"/>
    <col min="10" max="10" width="17.140625" bestFit="1" customWidth="1"/>
  </cols>
  <sheetData>
    <row r="3" spans="3:13">
      <c r="C3" s="1"/>
      <c r="D3" s="1"/>
      <c r="E3" s="1"/>
      <c r="F3" s="1"/>
      <c r="G3" s="1" t="s">
        <v>0</v>
      </c>
      <c r="H3" s="1"/>
      <c r="I3" s="1"/>
      <c r="J3" s="1"/>
      <c r="K3" s="1"/>
      <c r="L3" s="1"/>
      <c r="M3" s="1"/>
    </row>
    <row r="5" spans="3:13"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</row>
    <row r="6" spans="3:13">
      <c r="C6" t="s">
        <v>9</v>
      </c>
      <c r="D6" t="s">
        <v>10</v>
      </c>
      <c r="E6" s="2">
        <v>46179</v>
      </c>
      <c r="F6" s="2">
        <v>46362</v>
      </c>
      <c r="G6" t="s">
        <v>11</v>
      </c>
      <c r="H6" s="3">
        <v>4000</v>
      </c>
      <c r="I6" s="3">
        <v>2000</v>
      </c>
      <c r="J6" s="3">
        <f>(H6+I6)</f>
        <v>6000</v>
      </c>
    </row>
    <row r="7" spans="3:13">
      <c r="C7" t="s">
        <v>10</v>
      </c>
      <c r="D7" t="s">
        <v>12</v>
      </c>
      <c r="E7" s="2">
        <v>46362</v>
      </c>
      <c r="F7" s="2" t="s">
        <v>13</v>
      </c>
      <c r="G7" t="s">
        <v>14</v>
      </c>
      <c r="H7" s="3">
        <v>6000</v>
      </c>
      <c r="I7" s="3">
        <v>2500</v>
      </c>
      <c r="J7" s="3">
        <f t="shared" ref="J7:J14" si="0">(H7+I7)</f>
        <v>8500</v>
      </c>
    </row>
    <row r="8" spans="3:13">
      <c r="C8" t="s">
        <v>12</v>
      </c>
      <c r="D8" t="s">
        <v>15</v>
      </c>
      <c r="E8" s="2" t="s">
        <v>13</v>
      </c>
      <c r="F8" s="2" t="s">
        <v>16</v>
      </c>
      <c r="G8" t="s">
        <v>17</v>
      </c>
      <c r="H8" s="3">
        <v>4090</v>
      </c>
      <c r="I8" s="3">
        <v>3000</v>
      </c>
      <c r="J8" s="3">
        <f t="shared" si="0"/>
        <v>7090</v>
      </c>
    </row>
    <row r="9" spans="3:13">
      <c r="C9" t="s">
        <v>15</v>
      </c>
      <c r="D9" t="s">
        <v>18</v>
      </c>
      <c r="E9" s="2" t="s">
        <v>16</v>
      </c>
      <c r="F9" s="2">
        <v>46060</v>
      </c>
      <c r="G9" t="s">
        <v>19</v>
      </c>
      <c r="H9" s="3">
        <v>5100</v>
      </c>
      <c r="I9" s="3">
        <v>2599</v>
      </c>
      <c r="J9" s="3">
        <f t="shared" si="0"/>
        <v>7699</v>
      </c>
    </row>
    <row r="10" spans="3:13">
      <c r="C10" t="s">
        <v>18</v>
      </c>
      <c r="D10" t="s">
        <v>20</v>
      </c>
      <c r="E10" s="2">
        <v>46060</v>
      </c>
      <c r="F10" s="2">
        <v>46149</v>
      </c>
      <c r="G10" t="s">
        <v>21</v>
      </c>
      <c r="H10" s="3">
        <v>5500</v>
      </c>
      <c r="I10" s="3">
        <v>3789</v>
      </c>
      <c r="J10" s="3">
        <f t="shared" si="0"/>
        <v>9289</v>
      </c>
    </row>
    <row r="11" spans="3:13">
      <c r="C11" t="s">
        <v>20</v>
      </c>
      <c r="D11" t="s">
        <v>22</v>
      </c>
      <c r="E11" s="2">
        <v>46149</v>
      </c>
      <c r="F11" s="2">
        <v>46241</v>
      </c>
      <c r="G11" t="s">
        <v>23</v>
      </c>
      <c r="H11" s="3">
        <v>2300</v>
      </c>
      <c r="I11" s="3">
        <v>2000</v>
      </c>
      <c r="J11" s="3">
        <f t="shared" si="0"/>
        <v>4300</v>
      </c>
    </row>
    <row r="12" spans="3:13">
      <c r="C12" t="s">
        <v>22</v>
      </c>
      <c r="D12" t="s">
        <v>10</v>
      </c>
      <c r="E12" s="2">
        <v>46241</v>
      </c>
      <c r="F12" s="2">
        <v>46363</v>
      </c>
      <c r="G12" t="s">
        <v>11</v>
      </c>
      <c r="H12" s="3">
        <v>6000</v>
      </c>
      <c r="I12" s="3">
        <v>2000</v>
      </c>
      <c r="J12" s="3">
        <f t="shared" si="0"/>
        <v>8000</v>
      </c>
    </row>
    <row r="13" spans="3:13">
      <c r="C13" t="s">
        <v>10</v>
      </c>
      <c r="D13" t="s">
        <v>9</v>
      </c>
      <c r="E13" s="2">
        <v>46363</v>
      </c>
      <c r="F13" s="2">
        <v>46302</v>
      </c>
      <c r="G13" t="s">
        <v>24</v>
      </c>
      <c r="H13" s="3">
        <v>4000</v>
      </c>
      <c r="I13" s="3">
        <v>1689</v>
      </c>
      <c r="J13" s="3">
        <f t="shared" si="0"/>
        <v>5689</v>
      </c>
    </row>
    <row r="14" spans="3:13">
      <c r="H14" s="3"/>
      <c r="I14" s="3"/>
      <c r="J14" s="3"/>
    </row>
    <row r="15" spans="3:13">
      <c r="J15" s="3">
        <f>SUM(J6:J13)</f>
        <v>56567</v>
      </c>
      <c r="K15" s="7" t="s">
        <v>25</v>
      </c>
    </row>
    <row r="16" spans="3:13">
      <c r="E16" s="8" t="s">
        <v>26</v>
      </c>
      <c r="F16" s="10">
        <f>SUM(H6:H13)</f>
        <v>36990</v>
      </c>
      <c r="G16" s="11"/>
    </row>
    <row r="17" spans="5:7">
      <c r="E17" s="9" t="s">
        <v>27</v>
      </c>
      <c r="F17" s="10">
        <f>SUM(I6:I13)</f>
        <v>19577</v>
      </c>
      <c r="G17" s="11"/>
    </row>
    <row r="18" spans="5:7">
      <c r="E18" s="5" t="s">
        <v>25</v>
      </c>
      <c r="F18" s="6">
        <f>F16+F17</f>
        <v>56567</v>
      </c>
      <c r="G18" s="11"/>
    </row>
    <row r="19" spans="5:7">
      <c r="E19" s="11"/>
      <c r="F19" s="11"/>
      <c r="G19" s="11"/>
    </row>
    <row r="20" spans="5:7">
      <c r="E20" s="11"/>
      <c r="F20" s="11"/>
      <c r="G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3C59-BA93-4575-AED5-E4FE97E16F58}">
  <dimension ref="A1:J17"/>
  <sheetViews>
    <sheetView workbookViewId="0">
      <selection activeCell="H15" sqref="H15"/>
    </sheetView>
  </sheetViews>
  <sheetFormatPr defaultRowHeight="15"/>
  <cols>
    <col min="1" max="1" width="10.28515625" bestFit="1" customWidth="1"/>
    <col min="2" max="2" width="14.28515625" bestFit="1" customWidth="1"/>
    <col min="3" max="3" width="22.85546875" bestFit="1" customWidth="1"/>
    <col min="4" max="4" width="11.7109375" style="18" bestFit="1" customWidth="1"/>
    <col min="5" max="5" width="12.28515625" bestFit="1" customWidth="1"/>
    <col min="8" max="10" width="36.5703125" bestFit="1" customWidth="1"/>
  </cols>
  <sheetData>
    <row r="1" spans="1:10">
      <c r="A1" s="12" t="s">
        <v>28</v>
      </c>
      <c r="B1" s="12" t="s">
        <v>29</v>
      </c>
      <c r="C1" s="12" t="s">
        <v>30</v>
      </c>
      <c r="D1" s="17" t="s">
        <v>31</v>
      </c>
      <c r="E1" s="12" t="s">
        <v>32</v>
      </c>
    </row>
    <row r="2" spans="1:10">
      <c r="A2" s="13" t="s">
        <v>33</v>
      </c>
      <c r="B2" s="13" t="s">
        <v>34</v>
      </c>
      <c r="C2" s="13">
        <v>12</v>
      </c>
      <c r="D2" s="16">
        <v>52000</v>
      </c>
      <c r="E2" s="16">
        <f>C2*D2</f>
        <v>624000</v>
      </c>
      <c r="G2" s="1">
        <v>1</v>
      </c>
      <c r="H2" s="1" t="s">
        <v>35</v>
      </c>
      <c r="I2" s="1">
        <f>SUM(C2:C11)</f>
        <v>450</v>
      </c>
    </row>
    <row r="3" spans="1:10">
      <c r="A3" s="13" t="s">
        <v>36</v>
      </c>
      <c r="B3" s="13" t="s">
        <v>37</v>
      </c>
      <c r="C3" s="13">
        <v>85</v>
      </c>
      <c r="D3" s="16">
        <v>450</v>
      </c>
      <c r="E3" s="16">
        <f t="shared" ref="E3:E11" si="0">C3*D3</f>
        <v>38250</v>
      </c>
      <c r="G3" s="1">
        <v>2</v>
      </c>
      <c r="H3" s="1" t="s">
        <v>38</v>
      </c>
      <c r="I3" s="19">
        <f>MAX(E2:E11)</f>
        <v>624000</v>
      </c>
    </row>
    <row r="4" spans="1:10">
      <c r="A4" s="13" t="s">
        <v>39</v>
      </c>
      <c r="B4" s="13" t="s">
        <v>40</v>
      </c>
      <c r="C4" s="13">
        <v>56</v>
      </c>
      <c r="D4" s="16">
        <v>900</v>
      </c>
      <c r="E4" s="16">
        <f t="shared" si="0"/>
        <v>50400</v>
      </c>
      <c r="G4" s="1">
        <v>3</v>
      </c>
      <c r="H4" s="1" t="s">
        <v>41</v>
      </c>
      <c r="I4" s="19">
        <f>MIN(E2:E11)</f>
        <v>16800</v>
      </c>
    </row>
    <row r="5" spans="1:10">
      <c r="A5" s="13" t="s">
        <v>42</v>
      </c>
      <c r="B5" s="13" t="s">
        <v>43</v>
      </c>
      <c r="C5" s="13">
        <v>18</v>
      </c>
      <c r="D5" s="16">
        <v>9500</v>
      </c>
      <c r="E5" s="16">
        <f t="shared" si="0"/>
        <v>171000</v>
      </c>
      <c r="G5" s="1">
        <v>4</v>
      </c>
      <c r="H5" s="1" t="s">
        <v>44</v>
      </c>
      <c r="I5" s="1">
        <f>COUNTA(B2:B11)</f>
        <v>10</v>
      </c>
    </row>
    <row r="6" spans="1:10">
      <c r="A6" s="13" t="s">
        <v>45</v>
      </c>
      <c r="B6" s="13" t="s">
        <v>46</v>
      </c>
      <c r="C6" s="13">
        <v>140</v>
      </c>
      <c r="D6" s="16">
        <v>120</v>
      </c>
      <c r="E6" s="16">
        <f t="shared" si="0"/>
        <v>16800</v>
      </c>
      <c r="G6" s="1">
        <v>5</v>
      </c>
      <c r="H6" s="20" t="s">
        <v>47</v>
      </c>
      <c r="I6" s="19">
        <f>AVERAGE(E2:E11)</f>
        <v>118865</v>
      </c>
    </row>
    <row r="7" spans="1:10" ht="30.75">
      <c r="A7" s="13" t="s">
        <v>48</v>
      </c>
      <c r="B7" s="13" t="s">
        <v>49</v>
      </c>
      <c r="C7" s="13">
        <v>32</v>
      </c>
      <c r="D7" s="16">
        <v>1500</v>
      </c>
      <c r="E7" s="16">
        <f t="shared" si="0"/>
        <v>48000</v>
      </c>
      <c r="G7" s="1">
        <v>6</v>
      </c>
      <c r="H7" s="21" t="s">
        <v>50</v>
      </c>
      <c r="I7" s="19">
        <f>AVERAGE(E2:E11)</f>
        <v>118865</v>
      </c>
    </row>
    <row r="8" spans="1:10">
      <c r="A8" s="13" t="s">
        <v>51</v>
      </c>
      <c r="B8" s="13" t="s">
        <v>52</v>
      </c>
      <c r="C8" s="13">
        <v>7</v>
      </c>
      <c r="D8" s="16">
        <v>14500</v>
      </c>
      <c r="E8" s="16">
        <f t="shared" si="0"/>
        <v>101500</v>
      </c>
      <c r="I8" s="14"/>
      <c r="J8" s="14"/>
    </row>
    <row r="9" spans="1:10">
      <c r="A9" s="13" t="s">
        <v>53</v>
      </c>
      <c r="B9" s="13" t="s">
        <v>54</v>
      </c>
      <c r="C9" s="13">
        <v>63</v>
      </c>
      <c r="D9" s="16">
        <v>700</v>
      </c>
      <c r="E9" s="16">
        <f t="shared" si="0"/>
        <v>44100</v>
      </c>
      <c r="I9" s="14"/>
      <c r="J9" s="14"/>
    </row>
    <row r="10" spans="1:10">
      <c r="A10" s="13" t="s">
        <v>55</v>
      </c>
      <c r="B10" s="13" t="s">
        <v>56</v>
      </c>
      <c r="C10" s="13">
        <v>22</v>
      </c>
      <c r="D10" s="16">
        <v>2800</v>
      </c>
      <c r="E10" s="16">
        <f t="shared" si="0"/>
        <v>61600</v>
      </c>
      <c r="I10" s="14"/>
      <c r="J10" s="14"/>
    </row>
    <row r="11" spans="1:10">
      <c r="A11" s="13" t="s">
        <v>57</v>
      </c>
      <c r="B11" s="13" t="s">
        <v>58</v>
      </c>
      <c r="C11" s="13">
        <v>15</v>
      </c>
      <c r="D11" s="16">
        <v>2200</v>
      </c>
      <c r="E11" s="16">
        <f t="shared" si="0"/>
        <v>33000</v>
      </c>
    </row>
    <row r="13" spans="1:10">
      <c r="I13" s="18"/>
    </row>
    <row r="14" spans="1:10">
      <c r="C14" s="15"/>
      <c r="I14" s="18"/>
    </row>
    <row r="15" spans="1:10">
      <c r="C15" s="15"/>
    </row>
    <row r="16" spans="1:10">
      <c r="C16" s="15"/>
      <c r="H16" s="15"/>
      <c r="I16" s="18"/>
    </row>
    <row r="17" spans="8:9">
      <c r="H17" s="14"/>
      <c r="I17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4915-5004-411B-BCC6-3F3C8FDBAAD6}">
  <dimension ref="A1:O21"/>
  <sheetViews>
    <sheetView tabSelected="1" workbookViewId="0">
      <selection activeCell="D14" sqref="D14"/>
    </sheetView>
  </sheetViews>
  <sheetFormatPr defaultRowHeight="15"/>
  <cols>
    <col min="1" max="1" width="10.42578125" bestFit="1" customWidth="1"/>
    <col min="2" max="4" width="36.5703125" bestFit="1" customWidth="1"/>
    <col min="5" max="6" width="10.140625" bestFit="1" customWidth="1"/>
    <col min="8" max="8" width="16.7109375" customWidth="1"/>
    <col min="9" max="9" width="19.7109375" bestFit="1" customWidth="1"/>
    <col min="10" max="10" width="10" bestFit="1" customWidth="1"/>
    <col min="11" max="11" width="20.28515625" bestFit="1" customWidth="1"/>
    <col min="12" max="12" width="13.5703125" bestFit="1" customWidth="1"/>
    <col min="13" max="13" width="36.5703125" bestFit="1" customWidth="1"/>
    <col min="14" max="14" width="27" customWidth="1"/>
    <col min="15" max="15" width="27.85546875" customWidth="1"/>
  </cols>
  <sheetData>
    <row r="1" spans="1:15">
      <c r="A1" s="22" t="s">
        <v>59</v>
      </c>
      <c r="B1" s="22" t="s">
        <v>60</v>
      </c>
      <c r="C1" s="22" t="s">
        <v>61</v>
      </c>
      <c r="D1" s="22" t="s">
        <v>62</v>
      </c>
      <c r="E1" s="22" t="s">
        <v>63</v>
      </c>
      <c r="F1" s="22" t="s">
        <v>64</v>
      </c>
      <c r="G1" s="22" t="s">
        <v>65</v>
      </c>
      <c r="H1" s="5" t="s">
        <v>66</v>
      </c>
      <c r="I1" s="5" t="s">
        <v>67</v>
      </c>
      <c r="J1" s="5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73</v>
      </c>
    </row>
    <row r="2" spans="1:15" ht="30.75">
      <c r="A2" s="23" t="s">
        <v>74</v>
      </c>
      <c r="B2" s="23" t="s">
        <v>75</v>
      </c>
      <c r="C2" s="23">
        <v>9876543210</v>
      </c>
      <c r="D2" s="24" t="s">
        <v>76</v>
      </c>
      <c r="E2" s="23" t="s">
        <v>77</v>
      </c>
      <c r="F2" s="25">
        <v>44239</v>
      </c>
      <c r="G2" s="23" t="s">
        <v>78</v>
      </c>
      <c r="H2" s="14" t="str">
        <f>IF(LEFT(A2,3)="EMP","YES","NO")</f>
        <v>YES</v>
      </c>
      <c r="I2" t="str">
        <f>LEFT(B2,FIND(" ",B2)-1)</f>
        <v>Rahul</v>
      </c>
      <c r="J2" t="str">
        <f>RIGHT(B2,LEN(B2)-FIND(" ",B2))</f>
        <v>Sharma</v>
      </c>
      <c r="K2" t="str">
        <f>IF(AND(LEN(C2)=10,ISNUMBER(C2)),"valid","not Valid")</f>
        <v>valid</v>
      </c>
      <c r="L2" t="b">
        <f>ISBLANK(D2)</f>
        <v>0</v>
      </c>
      <c r="M2" s="14" t="str">
        <f>IF(OR(ISBLANK(D2),ISERROR(FIND("@",D2))),"Invalid mail id","Valid mail id")</f>
        <v>Valid mail id</v>
      </c>
      <c r="N2" t="str">
        <f>CONCATENATE(A2,B2)</f>
        <v>emp001Rahul Sharma</v>
      </c>
      <c r="O2" t="str">
        <f>_xlfn.TEXTJOIN(" ",TRUE,B2,A2,E2)</f>
        <v>Rahul Sharma emp001 Sales</v>
      </c>
    </row>
    <row r="3" spans="1:15">
      <c r="A3" s="23" t="s">
        <v>79</v>
      </c>
      <c r="B3" s="23" t="s">
        <v>80</v>
      </c>
      <c r="C3" s="23">
        <v>9876543211</v>
      </c>
      <c r="D3" s="23" t="s">
        <v>81</v>
      </c>
      <c r="E3" s="23" t="s">
        <v>82</v>
      </c>
      <c r="F3" s="25">
        <v>44140</v>
      </c>
      <c r="G3" s="23" t="s">
        <v>78</v>
      </c>
      <c r="H3" s="14" t="str">
        <f t="shared" ref="H3:H11" si="0">IF(LEFT(A3,3)="EMP","YES","NO")</f>
        <v>YES</v>
      </c>
      <c r="I3" t="str">
        <f t="shared" ref="I3:I11" si="1">LEFT(B3,FIND(" ",B3)-1)</f>
        <v>Anita</v>
      </c>
      <c r="J3" t="str">
        <f t="shared" ref="J3:J11" si="2">RIGHT(B3,LEN(B3)-FIND(" ",B3))</f>
        <v>Singh</v>
      </c>
      <c r="K3" t="str">
        <f t="shared" ref="K3:K11" si="3">IF(AND(LEN(C3)=10,ISNUMBER(C3)),"valid","not Valid")</f>
        <v>valid</v>
      </c>
      <c r="L3" t="b">
        <f t="shared" ref="L3:L11" si="4">ISBLANK(D3)</f>
        <v>0</v>
      </c>
      <c r="M3" s="14" t="str">
        <f t="shared" ref="M3:M11" si="5">IF(OR(ISBLANK(D3),ISERROR(FIND("@",D3))),"Invalid mail id","Valid mail id")</f>
        <v>Invalid mail id</v>
      </c>
      <c r="N3" t="str">
        <f t="shared" ref="N3:N11" si="6">CONCATENATE(A3,B3)</f>
        <v>EMP-002Anita Singh</v>
      </c>
      <c r="O3" t="str">
        <f t="shared" ref="O3:O11" si="7">_xlfn.TEXTJOIN(" ",TRUE,B3,A3,E3)</f>
        <v>Anita Singh EMP-002 HR</v>
      </c>
    </row>
    <row r="4" spans="1:15">
      <c r="A4" s="23" t="s">
        <v>83</v>
      </c>
      <c r="B4" s="23" t="s">
        <v>84</v>
      </c>
      <c r="C4" s="23">
        <v>9876509876</v>
      </c>
      <c r="D4" s="26" t="str">
        <f>_xlfn.TEXTJOIN("",TRUE,I4,".",I5,"@company.com")</f>
        <v>David.Sunil@company.com</v>
      </c>
      <c r="E4" s="23" t="s">
        <v>85</v>
      </c>
      <c r="F4" s="25">
        <v>44030</v>
      </c>
      <c r="G4" s="26"/>
      <c r="H4" s="14" t="str">
        <f t="shared" si="0"/>
        <v>YES</v>
      </c>
      <c r="I4" t="str">
        <f t="shared" si="1"/>
        <v>David</v>
      </c>
      <c r="J4" t="str">
        <f t="shared" si="2"/>
        <v>Mathews</v>
      </c>
      <c r="K4" t="str">
        <f t="shared" si="3"/>
        <v>valid</v>
      </c>
      <c r="L4" t="b">
        <f t="shared" si="4"/>
        <v>0</v>
      </c>
      <c r="M4" s="14" t="str">
        <f t="shared" si="5"/>
        <v>Valid mail id</v>
      </c>
      <c r="N4" t="str">
        <f t="shared" si="6"/>
        <v>EMP003David Mathews</v>
      </c>
      <c r="O4" t="str">
        <f t="shared" si="7"/>
        <v>David Mathews EMP003 IT</v>
      </c>
    </row>
    <row r="5" spans="1:15">
      <c r="A5" s="23" t="s">
        <v>86</v>
      </c>
      <c r="B5" s="23" t="s">
        <v>87</v>
      </c>
      <c r="C5" s="26"/>
      <c r="D5" s="24" t="s">
        <v>88</v>
      </c>
      <c r="E5" s="23" t="s">
        <v>89</v>
      </c>
      <c r="F5" s="25">
        <v>43542</v>
      </c>
      <c r="G5" s="23" t="s">
        <v>90</v>
      </c>
      <c r="H5" s="14" t="str">
        <f t="shared" si="0"/>
        <v>YES</v>
      </c>
      <c r="I5" t="str">
        <f t="shared" si="1"/>
        <v>Sunil</v>
      </c>
      <c r="J5" t="str">
        <f t="shared" si="2"/>
        <v>Kumar</v>
      </c>
      <c r="K5" t="str">
        <f t="shared" si="3"/>
        <v>not Valid</v>
      </c>
      <c r="L5" t="b">
        <f t="shared" si="4"/>
        <v>0</v>
      </c>
      <c r="M5" s="14" t="str">
        <f t="shared" si="5"/>
        <v>Valid mail id</v>
      </c>
      <c r="N5" t="str">
        <f t="shared" si="6"/>
        <v>Emp004Sunil Kumar</v>
      </c>
      <c r="O5" t="str">
        <f t="shared" si="7"/>
        <v>Sunil Kumar Emp004 Finance</v>
      </c>
    </row>
    <row r="6" spans="1:15">
      <c r="A6" s="23" t="s">
        <v>91</v>
      </c>
      <c r="B6" s="23" t="s">
        <v>92</v>
      </c>
      <c r="C6" s="23">
        <v>9901234567</v>
      </c>
      <c r="D6" s="24" t="s">
        <v>93</v>
      </c>
      <c r="E6" s="23" t="s">
        <v>94</v>
      </c>
      <c r="F6" s="25">
        <v>44446</v>
      </c>
      <c r="G6" s="23" t="s">
        <v>78</v>
      </c>
      <c r="H6" s="14" t="str">
        <f t="shared" si="0"/>
        <v>YES</v>
      </c>
      <c r="I6" t="str">
        <f t="shared" si="1"/>
        <v>Priya</v>
      </c>
      <c r="J6" t="str">
        <f t="shared" si="2"/>
        <v>R</v>
      </c>
      <c r="K6" t="str">
        <f t="shared" si="3"/>
        <v>valid</v>
      </c>
      <c r="L6" t="b">
        <f t="shared" si="4"/>
        <v>0</v>
      </c>
      <c r="M6" s="14" t="str">
        <f t="shared" si="5"/>
        <v>Valid mail id</v>
      </c>
      <c r="N6" t="str">
        <f t="shared" si="6"/>
        <v>EMP 005Priya R</v>
      </c>
      <c r="O6" t="str">
        <f t="shared" si="7"/>
        <v>Priya R EMP 005 Marketing</v>
      </c>
    </row>
    <row r="7" spans="1:15">
      <c r="A7" s="23" t="s">
        <v>95</v>
      </c>
      <c r="B7" s="23" t="s">
        <v>96</v>
      </c>
      <c r="C7" s="23">
        <v>991234567</v>
      </c>
      <c r="D7" s="24" t="s">
        <v>97</v>
      </c>
      <c r="E7" s="23" t="s">
        <v>85</v>
      </c>
      <c r="F7" s="25">
        <v>44848</v>
      </c>
      <c r="G7" s="23" t="s">
        <v>78</v>
      </c>
      <c r="H7" s="14" t="str">
        <f t="shared" si="0"/>
        <v>YES</v>
      </c>
      <c r="I7" t="str">
        <f t="shared" si="1"/>
        <v>Aman</v>
      </c>
      <c r="J7" t="str">
        <f t="shared" si="2"/>
        <v>Verma</v>
      </c>
      <c r="K7" t="str">
        <f t="shared" si="3"/>
        <v>not Valid</v>
      </c>
      <c r="L7" t="b">
        <f t="shared" si="4"/>
        <v>0</v>
      </c>
      <c r="M7" s="14" t="str">
        <f t="shared" si="5"/>
        <v>Valid mail id</v>
      </c>
      <c r="N7" t="str">
        <f t="shared" si="6"/>
        <v>EMP006Aman Verma</v>
      </c>
      <c r="O7" t="str">
        <f t="shared" si="7"/>
        <v>Aman Verma EMP006 IT</v>
      </c>
    </row>
    <row r="8" spans="1:15">
      <c r="A8" s="23" t="s">
        <v>98</v>
      </c>
      <c r="B8" s="23" t="s">
        <v>99</v>
      </c>
      <c r="C8" s="23">
        <v>9876543210</v>
      </c>
      <c r="D8" s="26" t="str">
        <f>_xlfn.TEXTJOIN("",TRUE,I8,".",J8,"@company.com")</f>
        <v>Maria.Lopez@company.com</v>
      </c>
      <c r="E8" s="23" t="s">
        <v>77</v>
      </c>
      <c r="F8" s="25">
        <v>43831</v>
      </c>
      <c r="G8" s="23" t="s">
        <v>78</v>
      </c>
      <c r="H8" s="14" t="str">
        <f t="shared" si="0"/>
        <v>YES</v>
      </c>
      <c r="I8" t="str">
        <f t="shared" si="1"/>
        <v>Maria</v>
      </c>
      <c r="J8" t="str">
        <f t="shared" si="2"/>
        <v>Lopez</v>
      </c>
      <c r="K8" t="str">
        <f t="shared" si="3"/>
        <v>valid</v>
      </c>
      <c r="L8" t="b">
        <f t="shared" si="4"/>
        <v>0</v>
      </c>
      <c r="M8" s="14" t="str">
        <f t="shared" si="5"/>
        <v>Valid mail id</v>
      </c>
      <c r="N8" t="str">
        <f t="shared" si="6"/>
        <v>emp007Maria Lopez</v>
      </c>
      <c r="O8" t="str">
        <f t="shared" si="7"/>
        <v>Maria Lopez emp007 Sales</v>
      </c>
    </row>
    <row r="9" spans="1:15">
      <c r="A9" s="23" t="s">
        <v>100</v>
      </c>
      <c r="B9" s="23" t="s">
        <v>101</v>
      </c>
      <c r="C9" s="23">
        <v>8899776655</v>
      </c>
      <c r="D9" s="23" t="s">
        <v>102</v>
      </c>
      <c r="E9" s="23" t="s">
        <v>85</v>
      </c>
      <c r="F9" s="25">
        <v>43445</v>
      </c>
      <c r="G9" s="23" t="s">
        <v>90</v>
      </c>
      <c r="H9" s="14" t="str">
        <f t="shared" si="0"/>
        <v>YES</v>
      </c>
      <c r="I9" t="str">
        <f t="shared" si="1"/>
        <v>John</v>
      </c>
      <c r="J9" t="str">
        <f t="shared" si="2"/>
        <v>Paul</v>
      </c>
      <c r="K9" t="str">
        <f t="shared" si="3"/>
        <v>valid</v>
      </c>
      <c r="L9" t="b">
        <f t="shared" si="4"/>
        <v>0</v>
      </c>
      <c r="M9" s="14" t="str">
        <f t="shared" si="5"/>
        <v>Valid mail id</v>
      </c>
      <c r="N9" t="str">
        <f t="shared" si="6"/>
        <v>EMP008John Paul</v>
      </c>
      <c r="O9" t="str">
        <f t="shared" si="7"/>
        <v>John Paul EMP008 IT</v>
      </c>
    </row>
    <row r="10" spans="1:15">
      <c r="A10" s="23" t="s">
        <v>103</v>
      </c>
      <c r="B10" s="23" t="s">
        <v>104</v>
      </c>
      <c r="C10" s="23">
        <v>9901122334</v>
      </c>
      <c r="D10" s="24" t="s">
        <v>105</v>
      </c>
      <c r="E10" s="26"/>
      <c r="F10" s="25">
        <v>45039</v>
      </c>
      <c r="G10" s="23" t="s">
        <v>78</v>
      </c>
      <c r="H10" s="14" t="str">
        <f t="shared" si="0"/>
        <v>YES</v>
      </c>
      <c r="I10" t="str">
        <f t="shared" si="1"/>
        <v>Khushi</v>
      </c>
      <c r="J10" t="str">
        <f t="shared" si="2"/>
        <v>Jain</v>
      </c>
      <c r="K10" t="str">
        <f t="shared" si="3"/>
        <v>valid</v>
      </c>
      <c r="L10" t="b">
        <f t="shared" si="4"/>
        <v>0</v>
      </c>
      <c r="M10" s="14" t="str">
        <f t="shared" si="5"/>
        <v>Valid mail id</v>
      </c>
      <c r="N10" t="str">
        <f t="shared" si="6"/>
        <v>emp009Khushi Jain</v>
      </c>
      <c r="O10" t="str">
        <f t="shared" si="7"/>
        <v>Khushi Jain emp009</v>
      </c>
    </row>
    <row r="11" spans="1:15">
      <c r="A11" s="23" t="s">
        <v>106</v>
      </c>
      <c r="B11" s="26" t="str">
        <f>_xlfn.TEXTJOIN(" ",TRUE,LEFT(D11,FIND(".",D11)-1),"M")</f>
        <v>rohan M</v>
      </c>
      <c r="C11" s="23">
        <v>9811122233</v>
      </c>
      <c r="D11" s="24" t="s">
        <v>107</v>
      </c>
      <c r="E11" s="23" t="s">
        <v>77</v>
      </c>
      <c r="F11" s="25">
        <v>44728</v>
      </c>
      <c r="G11" s="26"/>
      <c r="H11" s="14" t="str">
        <f t="shared" si="0"/>
        <v>YES</v>
      </c>
      <c r="I11" t="str">
        <f t="shared" si="1"/>
        <v>rohan</v>
      </c>
      <c r="J11" t="str">
        <f t="shared" si="2"/>
        <v>M</v>
      </c>
      <c r="K11" t="str">
        <f t="shared" si="3"/>
        <v>valid</v>
      </c>
      <c r="L11" t="b">
        <f t="shared" si="4"/>
        <v>0</v>
      </c>
      <c r="M11" s="14" t="str">
        <f t="shared" si="5"/>
        <v>Valid mail id</v>
      </c>
      <c r="N11" t="str">
        <f t="shared" si="6"/>
        <v>EMP010rohan M</v>
      </c>
      <c r="O11" t="str">
        <f t="shared" si="7"/>
        <v>rohan M EMP010 Sales</v>
      </c>
    </row>
    <row r="13" spans="1:15">
      <c r="B13" s="27" t="s">
        <v>108</v>
      </c>
      <c r="C13" s="27" t="s">
        <v>109</v>
      </c>
    </row>
    <row r="14" spans="1:15" ht="30.75">
      <c r="A14">
        <v>1</v>
      </c>
      <c r="B14" s="14" t="s">
        <v>110</v>
      </c>
      <c r="C14" t="s">
        <v>111</v>
      </c>
      <c r="D14" s="28" t="s">
        <v>112</v>
      </c>
    </row>
    <row r="15" spans="1:15" ht="30.75">
      <c r="A15">
        <v>2</v>
      </c>
      <c r="B15" s="14" t="s">
        <v>113</v>
      </c>
      <c r="C15" t="s">
        <v>114</v>
      </c>
    </row>
    <row r="16" spans="1:15" ht="30.75">
      <c r="A16">
        <v>3</v>
      </c>
      <c r="B16" s="14" t="s">
        <v>115</v>
      </c>
      <c r="C16" t="s">
        <v>116</v>
      </c>
    </row>
    <row r="17" spans="1:3" ht="30.75">
      <c r="A17">
        <v>4</v>
      </c>
      <c r="B17" s="14" t="s">
        <v>117</v>
      </c>
      <c r="C17" s="14" t="s">
        <v>118</v>
      </c>
    </row>
    <row r="18" spans="1:3" ht="30.75">
      <c r="A18">
        <v>5</v>
      </c>
      <c r="B18" s="14" t="s">
        <v>119</v>
      </c>
      <c r="C18" t="s">
        <v>120</v>
      </c>
    </row>
    <row r="19" spans="1:3" ht="30.75">
      <c r="A19">
        <v>6</v>
      </c>
      <c r="B19" s="14" t="s">
        <v>121</v>
      </c>
      <c r="C19" s="14" t="s">
        <v>122</v>
      </c>
    </row>
    <row r="20" spans="1:3" ht="45.75">
      <c r="A20">
        <v>7</v>
      </c>
      <c r="B20" s="14" t="s">
        <v>123</v>
      </c>
      <c r="C20" t="s">
        <v>124</v>
      </c>
    </row>
    <row r="21" spans="1:3" ht="45.75">
      <c r="A21">
        <v>8</v>
      </c>
      <c r="B21" s="14" t="s">
        <v>125</v>
      </c>
      <c r="C21" t="s">
        <v>124</v>
      </c>
    </row>
  </sheetData>
  <hyperlinks>
    <hyperlink ref="D2" r:id="rId1" xr:uid="{EE6918E8-48E8-447B-9881-B96C3F7707BE}"/>
    <hyperlink ref="D5" r:id="rId2" xr:uid="{ED03C0E3-9B61-4AE2-8734-1963802C95DF}"/>
    <hyperlink ref="D6" r:id="rId3" xr:uid="{C549B97E-759B-4451-9F2E-2A33BF271D93}"/>
    <hyperlink ref="D7" r:id="rId4" xr:uid="{7C859657-3E9E-4083-9A43-BD206A5C652A}"/>
    <hyperlink ref="D10" r:id="rId5" xr:uid="{A77F2BE6-B2E6-4302-A94A-FB81F8E34712}"/>
    <hyperlink ref="D11" r:id="rId6" xr:uid="{63D5D2F2-7106-4699-AF2F-83E2F56845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2026-05-13T17:23:45Z</dcterms:created>
  <dcterms:modified xsi:type="dcterms:W3CDTF">2026-05-14T19:10:05Z</dcterms:modified>
  <cp:category/>
  <cp:contentStatus/>
</cp:coreProperties>
</file>