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Typing" sheetId="1" r:id="rId4"/>
    <sheet state="visible" name="Cells and Ranges" sheetId="2" r:id="rId5"/>
    <sheet state="visible" name="Basic Calculations and Referenc" sheetId="3" r:id="rId6"/>
    <sheet state="visible" name="Referencing Detailed" sheetId="4" r:id="rId7"/>
    <sheet state="visible" name="Arithmatic Operators - SUM" sheetId="5" r:id="rId8"/>
    <sheet state="visible" name="Arithmatic Operators - MAX" sheetId="6" r:id="rId9"/>
    <sheet state="visible" name="Arithmatic Operators - MIN" sheetId="7" r:id="rId10"/>
    <sheet state="visible" name="Arithmatic Operators - COUNT an" sheetId="8" r:id="rId11"/>
    <sheet state="visible" name="Arithmatic Operators - AVERAGE" sheetId="9" r:id="rId12"/>
    <sheet state="visible" name="Conditional Operators - IF and " sheetId="10" r:id="rId13"/>
    <sheet state="visible" name="Conditional - SUMIF, COUNTIF an" sheetId="11" r:id="rId14"/>
    <sheet state="visible" name="Conditional Operators - SUMIFS," sheetId="12" r:id="rId15"/>
    <sheet state="visible" name="Logical Operators - ANDOR" sheetId="13" r:id="rId16"/>
    <sheet state="visible" name="Logical - ISBLANK" sheetId="14" r:id="rId17"/>
    <sheet state="visible" name="VLOOKUP" sheetId="15" r:id="rId18"/>
    <sheet state="visible" name="XLOOKUP" sheetId="16" r:id="rId19"/>
    <sheet state="visible" name="INDEX and MATCH" sheetId="17" r:id="rId20"/>
    <sheet state="visible" name="LEFT, MID, RIGHT" sheetId="18" r:id="rId21"/>
    <sheet state="visible" name="CONCATENATE, TEXT JOIN, CONCAT" sheetId="19" r:id="rId22"/>
    <sheet state="visible" name="SORT and SORTBY" sheetId="20" r:id="rId23"/>
    <sheet state="visible" name="FILTER" sheetId="21" r:id="rId24"/>
    <sheet state="visible" name="RANDARRAY" sheetId="22" r:id="rId25"/>
  </sheets>
  <definedNames/>
  <calcPr/>
</workbook>
</file>

<file path=xl/sharedStrings.xml><?xml version="1.0" encoding="utf-8"?>
<sst xmlns="http://schemas.openxmlformats.org/spreadsheetml/2006/main" count="619" uniqueCount="387">
  <si>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</si>
  <si>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</si>
  <si>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</si>
  <si>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</si>
  <si>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</si>
  <si>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</si>
  <si>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</si>
  <si>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</si>
  <si>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</si>
  <si>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</si>
  <si>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</si>
  <si>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</si>
  <si>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</si>
  <si>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</si>
  <si>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</si>
  <si>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</si>
  <si>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</si>
  <si>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</si>
  <si>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</si>
  <si>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</si>
  <si>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</si>
  <si>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</si>
  <si>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</si>
  <si>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</si>
  <si>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</si>
  <si>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</si>
  <si>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$10,185.00</t>
  </si>
  <si>
    <t>$11,780.00</t>
  </si>
  <si>
    <t>$15,023.00</t>
  </si>
  <si>
    <t>$19,433.00</t>
  </si>
  <si>
    <t>$12,775.00</t>
  </si>
  <si>
    <t>$17,859.00</t>
  </si>
  <si>
    <t>$11,222.00</t>
  </si>
  <si>
    <t>$10,959.00</t>
  </si>
  <si>
    <t>$15,153.00</t>
  </si>
  <si>
    <t>$16,592.00</t>
  </si>
  <si>
    <t>$15,065.00</t>
  </si>
  <si>
    <t>$13,451.00</t>
  </si>
  <si>
    <t>$13,729.00</t>
  </si>
  <si>
    <t>$16,378.00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</si>
  <si>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</si>
  <si>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</si>
  <si>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</si>
  <si>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</si>
  <si>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</si>
  <si>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</si>
  <si>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</si>
  <si>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</si>
  <si>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</si>
  <si>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</si>
  <si>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</si>
  <si>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</si>
  <si>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$60,001</t>
  </si>
  <si>
    <t>$74,989</t>
  </si>
  <si>
    <t>$90,272</t>
  </si>
  <si>
    <t>Expenses</t>
  </si>
  <si>
    <t>$43,505</t>
  </si>
  <si>
    <t>$55,629</t>
  </si>
  <si>
    <t>$66,556</t>
  </si>
  <si>
    <t>Income</t>
  </si>
  <si>
    <t>$16,496</t>
  </si>
  <si>
    <t>$19,360</t>
  </si>
  <si>
    <t>$23,716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</si>
  <si>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</si>
  <si>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</si>
  <si>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</si>
  <si>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</si>
  <si>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</si>
  <si>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</si>
  <si>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</si>
  <si>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</si>
  <si>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</si>
  <si>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</si>
  <si>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</si>
  <si>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</si>
  <si>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</si>
  <si>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</si>
  <si>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</si>
  <si>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</si>
  <si>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</si>
  <si>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</si>
  <si>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</si>
  <si>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</si>
  <si>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</si>
  <si>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</si>
  <si>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</si>
  <si>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</si>
  <si>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</si>
  <si>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</si>
  <si>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</si>
  <si>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</si>
  <si>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</si>
  <si>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rFont val="Calibri, sans-serif"/>
        <color rgb="FF1155CC"/>
        <sz val="11.0"/>
        <u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</si>
  <si>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</si>
  <si>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</si>
  <si>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</si>
  <si>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</si>
  <si>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</si>
  <si>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</si>
  <si>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</si>
  <si>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</si>
  <si>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</si>
  <si>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</si>
  <si>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rFont val="Calibri"/>
        <color theme="1"/>
        <sz val="16.0"/>
      </rPr>
      <t>Grandpa John gives his kids Christmas gifts, but only if they are younger than 18.</t>
    </r>
    <r>
      <rPr>
        <rFont val="Calibri"/>
        <color theme="1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</si>
  <si>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</si>
  <si>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</si>
  <si>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</si>
  <si>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</si>
  <si>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</si>
  <si>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</si>
  <si>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</si>
  <si>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</si>
  <si>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</si>
  <si>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</si>
  <si>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</si>
  <si>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</si>
  <si>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</si>
  <si>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</si>
  <si>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</si>
  <si>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</si>
  <si>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</si>
  <si>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</si>
  <si>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</si>
  <si>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</si>
  <si>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</si>
  <si>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</si>
  <si>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</si>
  <si>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</si>
  <si>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</si>
  <si>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</si>
  <si>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</si>
  <si>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</si>
  <si>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</si>
  <si>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</si>
  <si>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</si>
  <si>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</si>
  <si>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</si>
  <si>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</si>
  <si>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</si>
  <si>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</si>
  <si>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</si>
  <si>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</si>
  <si>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</si>
  <si>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</si>
  <si>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</si>
  <si>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</si>
  <si>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</si>
  <si>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</si>
  <si>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</si>
  <si>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</si>
  <si>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</si>
  <si>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</si>
  <si>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</si>
  <si>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</si>
  <si>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color rgb="FF1155CC"/>
        <sz val="14.0"/>
        <u/>
      </rPr>
      <t>SUMIF</t>
    </r>
    <r>
      <rPr>
        <color rgb="FF3A3A3A"/>
        <sz val="14.0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</si>
  <si>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</si>
  <si>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</si>
  <si>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</si>
  <si>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</si>
  <si>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</si>
  <si>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</si>
  <si>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</si>
  <si>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</si>
  <si>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</si>
  <si>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</si>
  <si>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</si>
  <si>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</si>
  <si>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</si>
  <si>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</si>
  <si>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</si>
  <si>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</si>
  <si>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</si>
  <si>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</si>
  <si>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</si>
  <si>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</si>
  <si>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</si>
  <si>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</si>
  <si>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</si>
  <si>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</si>
  <si>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</si>
  <si>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</si>
  <si>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</si>
  <si>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</si>
  <si>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</si>
  <si>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</si>
  <si>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</si>
  <si>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</si>
  <si>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</si>
  <si>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</si>
  <si>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</si>
  <si>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</si>
  <si>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</si>
  <si>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</si>
  <si>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</si>
  <si>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</si>
  <si>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</si>
  <si>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</si>
  <si>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</si>
  <si>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</si>
  <si>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</si>
  <si>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</si>
  <si>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</si>
  <si>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</si>
  <si>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</si>
  <si>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</si>
  <si>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</si>
  <si>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</si>
  <si>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</si>
  <si>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</si>
  <si>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</si>
  <si>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</si>
  <si>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</si>
  <si>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</si>
  <si>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</si>
  <si>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</si>
  <si>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</si>
  <si>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</si>
  <si>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</si>
  <si>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</si>
  <si>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</si>
  <si>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</si>
  <si>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</si>
  <si>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</si>
  <si>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</si>
  <si>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</si>
  <si>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</si>
  <si>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</si>
  <si>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</si>
  <si>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</si>
  <si>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</si>
  <si>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</si>
  <si>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</si>
  <si>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</si>
  <si>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</si>
  <si>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</si>
  <si>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</si>
  <si>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</si>
  <si>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</si>
  <si>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</si>
  <si>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</si>
  <si>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</si>
  <si>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</si>
  <si>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</si>
  <si>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</si>
  <si>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</si>
  <si>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</si>
  <si>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</si>
  <si>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</si>
  <si>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</si>
  <si>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</si>
  <si>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</si>
  <si>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</si>
  <si>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</si>
  <si>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</si>
  <si>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</si>
  <si>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</si>
  <si>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</si>
  <si>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</si>
  <si>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</si>
  <si>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</si>
  <si>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</si>
  <si>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</si>
  <si>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Elena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</si>
  <si>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</si>
  <si>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</si>
  <si>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</si>
  <si>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</si>
  <si>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</si>
  <si>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</si>
  <si>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</si>
  <si>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</si>
  <si>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</si>
  <si>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</si>
  <si>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</si>
  <si>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</si>
  <si>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</si>
  <si>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</si>
  <si>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</si>
  <si>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</si>
  <si>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</si>
  <si>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</si>
  <si>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</si>
  <si>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</si>
  <si>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</si>
  <si>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</si>
  <si>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</si>
  <si>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</si>
  <si>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</si>
  <si>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</si>
  <si>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</si>
  <si>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</si>
  <si>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</si>
  <si>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</si>
  <si>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</si>
  <si>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</si>
  <si>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</si>
  <si>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</si>
  <si>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</si>
  <si>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</si>
  <si>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</si>
  <si>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</si>
  <si>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</si>
  <si>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</si>
  <si>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</si>
  <si>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</si>
  <si>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</si>
  <si>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</si>
  <si>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</si>
  <si>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</si>
  <si>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</si>
  <si>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</si>
  <si>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</si>
  <si>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</si>
  <si>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</si>
  <si>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</si>
  <si>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</si>
  <si>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</si>
  <si>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</si>
  <si>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</si>
  <si>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</si>
  <si>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</si>
  <si>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</si>
  <si>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</si>
  <si>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</si>
  <si>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</si>
  <si>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</si>
  <si>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</si>
  <si>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</si>
  <si>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</si>
  <si>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</si>
  <si>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</si>
  <si>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SORT the following contestants by their rank, lowest to highest</t>
  </si>
  <si>
    <t>Rank</t>
  </si>
  <si>
    <t>Leroy</t>
  </si>
  <si>
    <t>Adi</t>
  </si>
  <si>
    <t>Anya</t>
  </si>
  <si>
    <t>Nemo</t>
  </si>
  <si>
    <t>Answer: (insert formula in the yellow cell)</t>
  </si>
  <si>
    <t>&lt;Insert formula in the yellow cell</t>
  </si>
  <si>
    <t>EXERCISE 1 - BASIC SORT</t>
  </si>
  <si>
    <t>Use SORTBY to sort the names by number of points in a descending order. For each column separately.</t>
  </si>
  <si>
    <t>Points Round 1</t>
  </si>
  <si>
    <t>Points Round 2</t>
  </si>
  <si>
    <t>Total Points</t>
  </si>
  <si>
    <t>Hayley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</si>
  <si>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</si>
  <si>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</si>
  <si>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</si>
  <si>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</si>
  <si>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</si>
  <si>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</si>
  <si>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</si>
  <si>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</si>
  <si>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</si>
  <si>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</si>
  <si>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</si>
  <si>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</si>
  <si>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</si>
  <si>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</si>
  <si>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</si>
  <si>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</si>
  <si>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</si>
  <si>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</si>
  <si>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</si>
  <si>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</si>
  <si>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</si>
  <si>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</si>
  <si>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</si>
  <si>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</si>
  <si>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</si>
  <si>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</si>
  <si>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</si>
  <si>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</si>
  <si>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</si>
  <si>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</si>
  <si>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</si>
  <si>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</si>
  <si>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</si>
  <si>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</si>
  <si>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</si>
  <si>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</si>
  <si>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</si>
  <si>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</si>
  <si>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</si>
  <si>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</si>
  <si>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A5:A12 (8 rows) with random decimal numbers.</t>
  </si>
  <si>
    <t>The decimal numbers should range between 10.7 to 24.3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</si>
</sst>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rgb="FF000000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4.0"/>
      <color theme="1"/>
      <name val="Calibri"/>
      <scheme val="minor"/>
    </font>
    <font>
      <sz val="13.0"/>
      <color theme="1"/>
      <name val="Calibri"/>
      <scheme val="minor"/>
    </font>
    <font>
      <sz val="16.0"/>
      <color theme="1"/>
      <name val="Calibri"/>
      <scheme val="minor"/>
    </font>
    <font>
      <b/>
      <sz val="15.0"/>
      <color theme="1"/>
      <name val="Calibri"/>
      <scheme val="minor"/>
    </font>
    <font/>
    <font>
      <b/>
      <sz val="14.0"/>
      <color rgb="FF000000"/>
      <name val="Calibri"/>
      <scheme val="minor"/>
    </font>
    <font>
      <sz val="8.0"/>
      <color theme="1"/>
      <name val="Calibri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sz val="14.0"/>
      <color theme="1"/>
      <name val="Calibri"/>
      <scheme val="minor"/>
    </font>
    <font>
      <sz val="14.0"/>
      <color rgb="FF000000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u/>
      <sz val="11.0"/>
      <color rgb="FF000000"/>
      <name val="Calibri"/>
    </font>
    <font>
      <sz val="11.0"/>
      <color rgb="FFFF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u/>
      <sz val="11.0"/>
      <color rgb="FF000000"/>
      <name val="Calibri"/>
    </font>
    <font>
      <b/>
      <color rgb="FF000000"/>
      <name val="Calibri"/>
    </font>
    <font>
      <sz val="14.0"/>
      <color rgb="FF333333"/>
      <name val="Calibri"/>
      <scheme val="minor"/>
    </font>
    <font>
      <u/>
      <sz val="14.0"/>
      <color rgb="FF3A3A3A"/>
    </font>
    <font>
      <sz val="14.0"/>
      <color rgb="FF3A3A3A"/>
      <name val="Arial"/>
    </font>
    <font>
      <b/>
      <sz val="13.0"/>
      <color rgb="FF000000"/>
      <name val="Calibri"/>
    </font>
    <font>
      <sz val="17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9.0"/>
      <color rgb="FF000000"/>
      <name val="Arial"/>
    </font>
    <font>
      <sz val="17.0"/>
      <color theme="1"/>
      <name val="Arial"/>
    </font>
    <font>
      <sz val="11.0"/>
      <color rgb="FF444444"/>
      <name val="Calibri"/>
    </font>
    <font>
      <sz val="10.0"/>
      <color rgb="FF666666"/>
      <name val="Arial"/>
    </font>
    <font>
      <b/>
      <sz val="17.0"/>
      <color theme="1"/>
      <name val="Arial"/>
    </font>
    <font>
      <b/>
      <color rgb="FF374151"/>
      <name val="Söhne"/>
    </font>
    <font>
      <color rgb="FF374151"/>
      <name val="Söhne"/>
    </font>
    <font>
      <b/>
      <sz val="11.0"/>
      <color rgb="FFFF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9.0"/>
      <color rgb="FFFF0000"/>
      <name val="Calibri"/>
    </font>
    <font>
      <b/>
      <sz val="17.0"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2" fillId="3" fontId="2" numFmtId="0" xfId="0" applyBorder="1" applyFill="1" applyFont="1"/>
    <xf borderId="3" fillId="3" fontId="2" numFmtId="0" xfId="0" applyBorder="1" applyFont="1"/>
    <xf borderId="4" fillId="3" fontId="2" numFmtId="0" xfId="0" applyBorder="1" applyFont="1"/>
    <xf borderId="5" fillId="3" fontId="2" numFmtId="0" xfId="0" applyBorder="1" applyFont="1"/>
    <xf borderId="0" fillId="3" fontId="2" numFmtId="0" xfId="0" applyFont="1"/>
    <xf borderId="6" fillId="3" fontId="2" numFmtId="0" xfId="0" applyBorder="1" applyFont="1"/>
    <xf borderId="0" fillId="3" fontId="6" numFmtId="0" xfId="0" applyAlignment="1" applyFont="1">
      <alignment readingOrder="0"/>
    </xf>
    <xf borderId="7" fillId="3" fontId="2" numFmtId="0" xfId="0" applyBorder="1" applyFont="1"/>
    <xf borderId="8" fillId="3" fontId="2" numFmtId="0" xfId="0" applyBorder="1" applyFont="1"/>
    <xf borderId="9" fillId="3" fontId="2" numFmtId="0" xfId="0" applyBorder="1" applyFont="1"/>
    <xf borderId="10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 shrinkToFit="0" wrapText="1"/>
    </xf>
    <xf borderId="11" fillId="0" fontId="7" numFmtId="0" xfId="0" applyBorder="1" applyFont="1"/>
    <xf borderId="12" fillId="0" fontId="7" numFmtId="0" xfId="0" applyBorder="1" applyFont="1"/>
    <xf borderId="0" fillId="0" fontId="8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2" fillId="4" fontId="2" numFmtId="0" xfId="0" applyAlignment="1" applyBorder="1" applyFill="1" applyFont="1">
      <alignment readingOrder="0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0" fillId="0" fontId="10" numFmtId="0" xfId="0" applyAlignment="1" applyFont="1">
      <alignment horizontal="left" readingOrder="0" vertical="bottom"/>
    </xf>
    <xf borderId="0" fillId="0" fontId="11" numFmtId="0" xfId="0" applyAlignment="1" applyFont="1">
      <alignment horizontal="right" readingOrder="0" vertical="bottom"/>
    </xf>
    <xf borderId="1" fillId="5" fontId="1" numFmtId="0" xfId="0" applyAlignment="1" applyBorder="1" applyFill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0" fontId="12" numFmtId="0" xfId="0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13" numFmtId="0" xfId="0" applyAlignment="1" applyFont="1">
      <alignment horizontal="left" vertical="bottom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0" fontId="13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6" fontId="12" numFmtId="0" xfId="0" applyAlignment="1" applyBorder="1" applyFill="1" applyFont="1">
      <alignment readingOrder="0"/>
    </xf>
    <xf borderId="1" fillId="0" fontId="2" numFmtId="4" xfId="0" applyAlignment="1" applyBorder="1" applyFont="1" applyNumberFormat="1">
      <alignment readingOrder="0"/>
    </xf>
    <xf borderId="10" fillId="0" fontId="12" numFmtId="0" xfId="0" applyBorder="1" applyFont="1"/>
    <xf borderId="13" fillId="0" fontId="12" numFmtId="0" xfId="0" applyAlignment="1" applyBorder="1" applyFont="1">
      <alignment readingOrder="0"/>
    </xf>
    <xf borderId="14" fillId="0" fontId="12" numFmtId="0" xfId="0" applyAlignment="1" applyBorder="1" applyFont="1">
      <alignment readingOrder="0"/>
    </xf>
    <xf borderId="15" fillId="0" fontId="12" numFmtId="0" xfId="0" applyAlignment="1" applyBorder="1" applyFont="1">
      <alignment readingOrder="0"/>
    </xf>
    <xf borderId="11" fillId="0" fontId="12" numFmtId="0" xfId="0" applyAlignment="1" applyBorder="1" applyFont="1">
      <alignment readingOrder="0"/>
    </xf>
    <xf borderId="12" fillId="0" fontId="1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4" numFmtId="0" xfId="0" applyBorder="1" applyFont="1"/>
    <xf borderId="1" fillId="7" fontId="15" numFmtId="0" xfId="0" applyAlignment="1" applyBorder="1" applyFill="1" applyFont="1">
      <alignment horizontal="left" readingOrder="0" vertical="bottom"/>
    </xf>
    <xf borderId="0" fillId="0" fontId="16" numFmtId="0" xfId="0" applyAlignment="1" applyFont="1">
      <alignment horizontal="left" vertical="bottom"/>
    </xf>
    <xf borderId="6" fillId="0" fontId="9" numFmtId="0" xfId="0" applyAlignment="1" applyBorder="1" applyFont="1">
      <alignment horizontal="left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  <xf borderId="1" fillId="5" fontId="16" numFmtId="0" xfId="0" applyAlignment="1" applyBorder="1" applyFont="1">
      <alignment horizontal="left" vertical="bottom"/>
    </xf>
    <xf borderId="7" fillId="0" fontId="14" numFmtId="0" xfId="0" applyBorder="1" applyFont="1"/>
    <xf borderId="8" fillId="0" fontId="14" numFmtId="0" xfId="0" applyBorder="1" applyFont="1"/>
    <xf borderId="9" fillId="0" fontId="2" numFmtId="0" xfId="0" applyBorder="1" applyFont="1"/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8" fontId="17" numFmtId="0" xfId="0" applyAlignment="1" applyFill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horizontal="right" readingOrder="0" shrinkToFit="0" vertical="bottom" wrapText="0"/>
    </xf>
    <xf borderId="1" fillId="5" fontId="17" numFmtId="0" xfId="0" applyAlignment="1" applyBorder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2" fillId="0" fontId="17" numFmtId="0" xfId="0" applyAlignment="1" applyBorder="1" applyFont="1">
      <alignment horizontal="right" readingOrder="0" shrinkToFit="0" vertical="bottom" wrapText="0"/>
    </xf>
    <xf borderId="3" fillId="0" fontId="17" numFmtId="0" xfId="0" applyAlignment="1" applyBorder="1" applyFont="1">
      <alignment horizontal="right" readingOrder="0" shrinkToFit="0" vertical="bottom" wrapText="0"/>
    </xf>
    <xf borderId="4" fillId="0" fontId="17" numFmtId="0" xfId="0" applyAlignment="1" applyBorder="1" applyFont="1">
      <alignment horizontal="right" readingOrder="0" shrinkToFit="0" vertical="bottom" wrapText="0"/>
    </xf>
    <xf borderId="5" fillId="0" fontId="17" numFmtId="0" xfId="0" applyAlignment="1" applyBorder="1" applyFont="1">
      <alignment horizontal="right" readingOrder="0" shrinkToFit="0" vertical="bottom" wrapText="0"/>
    </xf>
    <xf borderId="6" fillId="0" fontId="17" numFmtId="0" xfId="0" applyAlignment="1" applyBorder="1" applyFont="1">
      <alignment horizontal="right" readingOrder="0" shrinkToFit="0" vertical="bottom" wrapText="0"/>
    </xf>
    <xf borderId="7" fillId="0" fontId="17" numFmtId="0" xfId="0" applyAlignment="1" applyBorder="1" applyFont="1">
      <alignment horizontal="right" readingOrder="0" shrinkToFit="0" vertical="bottom" wrapText="0"/>
    </xf>
    <xf borderId="8" fillId="0" fontId="17" numFmtId="0" xfId="0" applyAlignment="1" applyBorder="1" applyFont="1">
      <alignment horizontal="right" readingOrder="0" shrinkToFit="0" vertical="bottom" wrapText="0"/>
    </xf>
    <xf borderId="9" fillId="0" fontId="17" numFmtId="0" xfId="0" applyAlignment="1" applyBorder="1" applyFont="1">
      <alignment horizontal="right" readingOrder="0" shrinkToFit="0" vertical="bottom" wrapText="0"/>
    </xf>
    <xf borderId="2" fillId="9" fontId="17" numFmtId="0" xfId="0" applyAlignment="1" applyBorder="1" applyFill="1" applyFont="1">
      <alignment horizontal="right" readingOrder="0" shrinkToFit="0" vertical="bottom" wrapText="0"/>
    </xf>
    <xf borderId="3" fillId="9" fontId="17" numFmtId="0" xfId="0" applyAlignment="1" applyBorder="1" applyFont="1">
      <alignment horizontal="right" readingOrder="0" shrinkToFit="0" vertical="bottom" wrapText="0"/>
    </xf>
    <xf borderId="4" fillId="9" fontId="17" numFmtId="0" xfId="0" applyAlignment="1" applyBorder="1" applyFont="1">
      <alignment horizontal="right" readingOrder="0" shrinkToFit="0" vertical="bottom" wrapText="0"/>
    </xf>
    <xf borderId="5" fillId="9" fontId="17" numFmtId="0" xfId="0" applyAlignment="1" applyBorder="1" applyFont="1">
      <alignment horizontal="right" readingOrder="0" shrinkToFit="0" vertical="bottom" wrapText="0"/>
    </xf>
    <xf borderId="0" fillId="9" fontId="17" numFmtId="0" xfId="0" applyAlignment="1" applyFont="1">
      <alignment horizontal="right" readingOrder="0" shrinkToFit="0" vertical="bottom" wrapText="0"/>
    </xf>
    <xf borderId="6" fillId="9" fontId="17" numFmtId="0" xfId="0" applyAlignment="1" applyBorder="1" applyFont="1">
      <alignment horizontal="right" readingOrder="0" shrinkToFit="0" vertical="bottom" wrapText="0"/>
    </xf>
    <xf borderId="7" fillId="9" fontId="17" numFmtId="0" xfId="0" applyAlignment="1" applyBorder="1" applyFont="1">
      <alignment horizontal="right" readingOrder="0" shrinkToFit="0" vertical="bottom" wrapText="0"/>
    </xf>
    <xf borderId="8" fillId="9" fontId="17" numFmtId="0" xfId="0" applyAlignment="1" applyBorder="1" applyFont="1">
      <alignment horizontal="right" readingOrder="0" shrinkToFit="0" vertical="bottom" wrapText="0"/>
    </xf>
    <xf borderId="9" fillId="9" fontId="17" numFmtId="0" xfId="0" applyAlignment="1" applyBorder="1" applyFont="1">
      <alignment horizontal="right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4" numFmtId="0" xfId="0" applyFont="1"/>
    <xf borderId="2" fillId="10" fontId="17" numFmtId="0" xfId="0" applyAlignment="1" applyBorder="1" applyFill="1" applyFont="1">
      <alignment horizontal="center" readingOrder="0" shrinkToFit="0" vertical="bottom" wrapText="0"/>
    </xf>
    <xf borderId="3" fillId="10" fontId="17" numFmtId="0" xfId="0" applyAlignment="1" applyBorder="1" applyFont="1">
      <alignment horizontal="center" readingOrder="0" shrinkToFit="0" vertical="bottom" wrapText="0"/>
    </xf>
    <xf borderId="4" fillId="10" fontId="17" numFmtId="0" xfId="0" applyAlignment="1" applyBorder="1" applyFont="1">
      <alignment horizontal="center" readingOrder="0" shrinkToFit="0" vertical="bottom" wrapText="0"/>
    </xf>
    <xf borderId="5" fillId="10" fontId="17" numFmtId="0" xfId="0" applyAlignment="1" applyBorder="1" applyFont="1">
      <alignment horizontal="center" readingOrder="0" shrinkToFit="0" vertical="bottom" wrapText="0"/>
    </xf>
    <xf borderId="0" fillId="10" fontId="17" numFmtId="0" xfId="0" applyAlignment="1" applyFont="1">
      <alignment horizontal="center" readingOrder="0" shrinkToFit="0" vertical="bottom" wrapText="0"/>
    </xf>
    <xf borderId="6" fillId="10" fontId="17" numFmtId="0" xfId="0" applyAlignment="1" applyBorder="1" applyFont="1">
      <alignment horizontal="center" readingOrder="0" shrinkToFit="0" vertical="bottom" wrapText="0"/>
    </xf>
    <xf borderId="7" fillId="10" fontId="17" numFmtId="0" xfId="0" applyAlignment="1" applyBorder="1" applyFont="1">
      <alignment horizontal="center" readingOrder="0" shrinkToFit="0" vertical="bottom" wrapText="0"/>
    </xf>
    <xf borderId="8" fillId="10" fontId="17" numFmtId="0" xfId="0" applyAlignment="1" applyBorder="1" applyFont="1">
      <alignment horizontal="center" readingOrder="0" shrinkToFit="0" vertical="bottom" wrapText="0"/>
    </xf>
    <xf borderId="9" fillId="10" fontId="17" numFmtId="0" xfId="0" applyAlignment="1" applyBorder="1" applyFont="1">
      <alignment horizontal="center" readingOrder="0" shrinkToFit="0" vertical="bottom" wrapText="0"/>
    </xf>
    <xf borderId="1" fillId="5" fontId="18" numFmtId="0" xfId="0" applyAlignment="1" applyBorder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5" fontId="17" numFmtId="0" xfId="0" applyAlignment="1" applyFont="1">
      <alignment shrinkToFit="0" vertical="bottom" wrapText="0"/>
    </xf>
    <xf borderId="2" fillId="11" fontId="2" numFmtId="0" xfId="0" applyAlignment="1" applyBorder="1" applyFill="1" applyFont="1">
      <alignment readingOrder="0"/>
    </xf>
    <xf borderId="5" fillId="11" fontId="2" numFmtId="0" xfId="0" applyBorder="1" applyFont="1"/>
    <xf borderId="0" fillId="11" fontId="2" numFmtId="0" xfId="0" applyFont="1"/>
    <xf borderId="6" fillId="11" fontId="2" numFmtId="0" xfId="0" applyBorder="1" applyFont="1"/>
    <xf borderId="5" fillId="11" fontId="14" numFmtId="0" xfId="0" applyAlignment="1" applyBorder="1" applyFont="1">
      <alignment readingOrder="0"/>
    </xf>
    <xf borderId="2" fillId="0" fontId="18" numFmtId="0" xfId="0" applyAlignment="1" applyBorder="1" applyFont="1">
      <alignment readingOrder="0" shrinkToFit="0" vertical="bottom" wrapText="0"/>
    </xf>
    <xf borderId="3" fillId="0" fontId="24" numFmtId="0" xfId="0" applyAlignment="1" applyBorder="1" applyFont="1">
      <alignment readingOrder="0" shrinkToFit="0" vertical="bottom" wrapText="0"/>
    </xf>
    <xf borderId="3" fillId="0" fontId="25" numFmtId="0" xfId="0" applyAlignment="1" applyBorder="1" applyFont="1">
      <alignment shrinkToFit="0" vertical="bottom" wrapText="0"/>
    </xf>
    <xf borderId="3" fillId="0" fontId="25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readingOrder="0" shrinkToFit="0" vertical="bottom" wrapText="0"/>
    </xf>
    <xf borderId="6" fillId="0" fontId="2" numFmtId="0" xfId="0" applyBorder="1" applyFont="1"/>
    <xf borderId="1" fillId="5" fontId="17" numFmtId="0" xfId="0" applyAlignment="1" applyBorder="1" applyFont="1">
      <alignment horizontal="right" readingOrder="0" shrinkToFit="0" vertical="bottom" wrapText="0"/>
    </xf>
    <xf borderId="5" fillId="0" fontId="17" numFmtId="0" xfId="0" applyAlignment="1" applyBorder="1" applyFont="1">
      <alignment shrinkToFit="0" vertical="bottom" wrapText="0"/>
    </xf>
    <xf borderId="5" fillId="0" fontId="18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5" fillId="0" fontId="2" numFmtId="0" xfId="0" applyBorder="1" applyFont="1"/>
    <xf borderId="7" fillId="0" fontId="2" numFmtId="0" xfId="0" applyBorder="1" applyFont="1"/>
    <xf borderId="8" fillId="0" fontId="17" numFmtId="0" xfId="0" applyAlignment="1" applyBorder="1" applyFont="1">
      <alignment readingOrder="0" shrinkToFit="0" vertical="bottom" wrapText="0"/>
    </xf>
    <xf borderId="8" fillId="0" fontId="17" numFmtId="0" xfId="0" applyAlignment="1" applyBorder="1" applyFont="1">
      <alignment shrinkToFit="0" vertical="bottom" wrapText="0"/>
    </xf>
    <xf borderId="8" fillId="0" fontId="2" numFmtId="0" xfId="0" applyBorder="1" applyFont="1"/>
    <xf borderId="1" fillId="12" fontId="17" numFmtId="0" xfId="0" applyAlignment="1" applyBorder="1" applyFill="1" applyFont="1">
      <alignment shrinkToFit="0" vertical="bottom" wrapText="0"/>
    </xf>
    <xf borderId="2" fillId="0" fontId="17" numFmtId="0" xfId="0" applyAlignment="1" applyBorder="1" applyFont="1">
      <alignment horizontal="left" readingOrder="0" vertical="bottom"/>
    </xf>
    <xf borderId="0" fillId="0" fontId="18" numFmtId="0" xfId="0" applyAlignment="1" applyFont="1">
      <alignment horizontal="left" readingOrder="0" vertical="bottom"/>
    </xf>
    <xf borderId="0" fillId="0" fontId="17" numFmtId="0" xfId="0" applyAlignment="1" applyFont="1">
      <alignment horizontal="left" vertical="bottom"/>
    </xf>
    <xf borderId="2" fillId="0" fontId="26" numFmtId="0" xfId="0" applyAlignment="1" applyBorder="1" applyFont="1">
      <alignment readingOrder="0" shrinkToFit="0" vertical="bottom" wrapText="0"/>
    </xf>
    <xf borderId="2" fillId="13" fontId="27" numFmtId="0" xfId="0" applyAlignment="1" applyBorder="1" applyFill="1" applyFont="1">
      <alignment horizontal="left" readingOrder="0" vertical="bottom"/>
    </xf>
    <xf borderId="6" fillId="0" fontId="17" numFmtId="0" xfId="0" applyAlignment="1" applyBorder="1" applyFont="1">
      <alignment readingOrder="0" shrinkToFit="0" vertical="bottom" wrapText="0"/>
    </xf>
    <xf borderId="7" fillId="0" fontId="17" numFmtId="0" xfId="0" applyAlignment="1" applyBorder="1" applyFont="1">
      <alignment readingOrder="0" shrinkToFit="0" vertical="bottom" wrapText="0"/>
    </xf>
    <xf borderId="0" fillId="0" fontId="18" numFmtId="0" xfId="0" applyAlignment="1" applyFont="1">
      <alignment horizontal="center" readingOrder="0"/>
    </xf>
    <xf borderId="0" fillId="5" fontId="18" numFmtId="0" xfId="0" applyAlignment="1" applyFont="1">
      <alignment shrinkToFit="0" vertical="bottom" wrapText="0"/>
    </xf>
    <xf borderId="0" fillId="0" fontId="18" numFmtId="0" xfId="0" applyFont="1"/>
    <xf borderId="0" fillId="12" fontId="28" numFmtId="0" xfId="0" applyAlignment="1" applyFont="1">
      <alignment readingOrder="0"/>
    </xf>
    <xf borderId="0" fillId="12" fontId="29" numFmtId="0" xfId="0" applyAlignment="1" applyFont="1">
      <alignment readingOrder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0" fillId="12" fontId="30" numFmtId="0" xfId="0" applyAlignment="1" applyFont="1">
      <alignment readingOrder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5" fontId="17" numFmtId="0" xfId="0" applyAlignment="1" applyFont="1">
      <alignment horizontal="left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5" fontId="17" numFmtId="0" xfId="0" applyAlignment="1" applyBorder="1" applyFont="1">
      <alignment horizontal="center" shrinkToFit="0" vertical="bottom" wrapText="0"/>
    </xf>
    <xf borderId="1" fillId="0" fontId="17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readingOrder="0" shrinkToFit="0" vertical="bottom" wrapText="0"/>
    </xf>
    <xf borderId="3" fillId="0" fontId="17" numFmtId="0" xfId="0" applyAlignment="1" applyBorder="1" applyFont="1">
      <alignment readingOrder="0" shrinkToFit="0" vertical="bottom" wrapText="0"/>
    </xf>
    <xf borderId="3" fillId="0" fontId="17" numFmtId="0" xfId="0" applyAlignment="1" applyBorder="1" applyFont="1">
      <alignment shrinkToFit="0" vertical="bottom" wrapText="0"/>
    </xf>
    <xf borderId="4" fillId="0" fontId="17" numFmtId="0" xfId="0" applyAlignment="1" applyBorder="1" applyFont="1">
      <alignment shrinkToFit="0" vertical="bottom" wrapText="0"/>
    </xf>
    <xf borderId="6" fillId="0" fontId="17" numFmtId="0" xfId="0" applyAlignment="1" applyBorder="1" applyFont="1">
      <alignment shrinkToFit="0" vertical="bottom" wrapText="0"/>
    </xf>
    <xf borderId="3" fillId="14" fontId="17" numFmtId="0" xfId="0" applyAlignment="1" applyBorder="1" applyFill="1" applyFont="1">
      <alignment readingOrder="0" shrinkToFit="0" vertical="bottom" wrapText="0"/>
    </xf>
    <xf borderId="3" fillId="14" fontId="17" numFmtId="0" xfId="0" applyAlignment="1" applyBorder="1" applyFont="1">
      <alignment horizontal="right" readingOrder="0" shrinkToFit="0" vertical="bottom" wrapText="0"/>
    </xf>
    <xf borderId="0" fillId="14" fontId="17" numFmtId="0" xfId="0" applyAlignment="1" applyFont="1">
      <alignment readingOrder="0" shrinkToFit="0" vertical="bottom" wrapText="0"/>
    </xf>
    <xf borderId="0" fillId="14" fontId="17" numFmtId="0" xfId="0" applyAlignment="1" applyFont="1">
      <alignment horizontal="right" readingOrder="0" shrinkToFit="0" vertical="bottom" wrapText="0"/>
    </xf>
    <xf borderId="2" fillId="0" fontId="32" numFmtId="0" xfId="0" applyAlignment="1" applyBorder="1" applyFont="1">
      <alignment horizontal="center" readingOrder="0"/>
    </xf>
    <xf borderId="0" fillId="0" fontId="33" numFmtId="0" xfId="0" applyAlignment="1" applyFont="1">
      <alignment readingOrder="0" shrinkToFit="0" vertical="bottom" wrapText="0"/>
    </xf>
    <xf borderId="0" fillId="0" fontId="34" numFmtId="0" xfId="0" applyAlignment="1" applyFont="1">
      <alignment shrinkToFit="0" vertical="bottom" wrapText="0"/>
    </xf>
    <xf borderId="1" fillId="0" fontId="33" numFmtId="0" xfId="0" applyAlignment="1" applyBorder="1" applyFont="1">
      <alignment readingOrder="0" shrinkToFit="0" vertical="bottom" wrapText="0"/>
    </xf>
    <xf borderId="1" fillId="0" fontId="34" numFmtId="0" xfId="0" applyAlignment="1" applyBorder="1" applyFont="1">
      <alignment horizontal="right" readingOrder="0" shrinkToFit="0" vertical="bottom" wrapText="0"/>
    </xf>
    <xf borderId="1" fillId="0" fontId="34" numFmtId="0" xfId="0" applyAlignment="1" applyBorder="1" applyFont="1">
      <alignment readingOrder="0" shrinkToFit="0" vertical="bottom" wrapText="0"/>
    </xf>
    <xf borderId="1" fillId="15" fontId="18" numFmtId="0" xfId="0" applyAlignment="1" applyBorder="1" applyFill="1" applyFont="1">
      <alignment readingOrder="0" shrinkToFit="0" vertical="bottom" wrapText="0"/>
    </xf>
    <xf borderId="0" fillId="0" fontId="34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 vertical="bottom"/>
    </xf>
    <xf borderId="1" fillId="5" fontId="34" numFmtId="0" xfId="0" applyAlignment="1" applyBorder="1" applyFont="1">
      <alignment shrinkToFit="0" vertical="bottom" wrapText="0"/>
    </xf>
    <xf borderId="0" fillId="16" fontId="17" numFmtId="0" xfId="0" applyAlignment="1" applyFill="1" applyFont="1">
      <alignment horizontal="right" readingOrder="0" shrinkToFit="0" vertical="bottom" wrapText="0"/>
    </xf>
    <xf borderId="2" fillId="0" fontId="36" numFmtId="0" xfId="0" applyAlignment="1" applyBorder="1" applyFont="1">
      <alignment horizontal="center" readingOrder="0"/>
    </xf>
    <xf borderId="1" fillId="15" fontId="33" numFmtId="0" xfId="0" applyAlignment="1" applyBorder="1" applyFont="1">
      <alignment readingOrder="0" shrinkToFit="0" vertical="bottom" wrapText="0"/>
    </xf>
    <xf borderId="0" fillId="5" fontId="34" numFmtId="0" xfId="0" applyAlignment="1" applyFont="1">
      <alignment shrinkToFit="0" vertical="bottom" wrapText="0"/>
    </xf>
    <xf borderId="0" fillId="5" fontId="37" numFmtId="0" xfId="0" applyAlignment="1" applyFont="1">
      <alignment readingOrder="0" shrinkToFit="0" vertical="bottom" wrapText="0"/>
    </xf>
    <xf quotePrefix="1" borderId="0" fillId="0" fontId="37" numFmtId="0" xfId="0" applyAlignment="1" applyFont="1">
      <alignment readingOrder="0" shrinkToFit="0" vertical="bottom" wrapText="0"/>
    </xf>
    <xf quotePrefix="1" borderId="0" fillId="0" fontId="38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2" fillId="0" fontId="39" numFmtId="0" xfId="0" applyAlignment="1" applyBorder="1" applyFont="1">
      <alignment horizontal="center" readingOrder="0"/>
    </xf>
    <xf borderId="0" fillId="0" fontId="15" numFmtId="0" xfId="0" applyAlignment="1" applyFont="1">
      <alignment readingOrder="0" shrinkToFit="0" vertical="bottom" wrapText="0"/>
    </xf>
    <xf borderId="1" fillId="0" fontId="40" numFmtId="0" xfId="0" applyAlignment="1" applyBorder="1" applyFont="1">
      <alignment readingOrder="0" shrinkToFit="0" vertical="bottom" wrapText="0"/>
    </xf>
    <xf borderId="1" fillId="0" fontId="41" numFmtId="0" xfId="0" applyAlignment="1" applyBorder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18" numFmtId="0" xfId="0" applyAlignment="1" applyFont="1">
      <alignment horizontal="left" readingOrder="0"/>
    </xf>
    <xf borderId="1" fillId="17" fontId="18" numFmtId="0" xfId="0" applyAlignment="1" applyBorder="1" applyFill="1" applyFont="1">
      <alignment readingOrder="0" shrinkToFit="0" vertical="bottom" wrapText="0"/>
    </xf>
    <xf borderId="1" fillId="17" fontId="18" numFmtId="0" xfId="0" applyAlignment="1" applyBorder="1" applyFont="1">
      <alignment readingOrder="0" vertical="bottom"/>
    </xf>
    <xf borderId="1" fillId="17" fontId="17" numFmtId="0" xfId="0" applyAlignment="1" applyBorder="1" applyFont="1">
      <alignment readingOrder="0" shrinkToFit="0" vertical="bottom" wrapText="0"/>
    </xf>
    <xf borderId="1" fillId="17" fontId="17" numFmtId="0" xfId="0" applyAlignment="1" applyBorder="1" applyFont="1">
      <alignment horizontal="right" readingOrder="0" shrinkToFit="0" vertical="bottom" wrapText="0"/>
    </xf>
    <xf borderId="0" fillId="0" fontId="17" numFmtId="0" xfId="0" applyAlignment="1" applyFont="1">
      <alignment horizontal="center" readingOrder="0"/>
    </xf>
    <xf borderId="0" fillId="0" fontId="42" numFmtId="0" xfId="0" applyAlignment="1" applyFont="1">
      <alignment readingOrder="0" shrinkToFit="0" vertical="bottom" wrapText="0"/>
    </xf>
    <xf borderId="13" fillId="0" fontId="39" numFmtId="0" xfId="0" applyAlignment="1" applyBorder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1" fillId="18" fontId="18" numFmtId="0" xfId="0" applyAlignment="1" applyBorder="1" applyFill="1" applyFont="1">
      <alignment readingOrder="0" vertical="bottom"/>
    </xf>
    <xf borderId="1" fillId="3" fontId="18" numFmtId="0" xfId="0" applyAlignment="1" applyBorder="1" applyFont="1">
      <alignment readingOrder="0" vertical="bottom"/>
    </xf>
    <xf borderId="1" fillId="18" fontId="17" numFmtId="0" xfId="0" applyAlignment="1" applyBorder="1" applyFont="1">
      <alignment horizontal="right" readingOrder="0" shrinkToFit="0" vertical="bottom" wrapText="0"/>
    </xf>
    <xf borderId="1" fillId="3" fontId="17" numFmtId="0" xfId="0" applyAlignment="1" applyBorder="1" applyFont="1">
      <alignment horizontal="right" readingOrder="0" shrinkToFit="0" vertical="bottom" wrapText="0"/>
    </xf>
    <xf borderId="2" fillId="17" fontId="43" numFmtId="0" xfId="0" applyAlignment="1" applyBorder="1" applyFont="1">
      <alignment horizontal="center" readingOrder="0" shrinkToFit="0" vertical="bottom" wrapText="0"/>
    </xf>
    <xf borderId="2" fillId="18" fontId="44" numFmtId="0" xfId="0" applyAlignment="1" applyBorder="1" applyFont="1">
      <alignment horizontal="center" readingOrder="0" shrinkToFit="0" vertical="bottom" wrapText="0"/>
    </xf>
    <xf borderId="2" fillId="3" fontId="45" numFmtId="0" xfId="0" applyAlignment="1" applyBorder="1" applyFont="1">
      <alignment horizontal="center" readingOrder="0" shrinkToFit="0" vertical="bottom" wrapText="0"/>
    </xf>
    <xf borderId="6" fillId="0" fontId="46" numFmtId="0" xfId="0" applyAlignment="1" applyBorder="1" applyFont="1">
      <alignment readingOrder="0" shrinkToFit="0" vertical="bottom" wrapText="0"/>
    </xf>
    <xf borderId="0" fillId="10" fontId="47" numFmtId="0" xfId="0" applyAlignment="1" applyFont="1">
      <alignment readingOrder="0" vertical="bottom"/>
    </xf>
    <xf borderId="2" fillId="0" fontId="48" numFmtId="0" xfId="0" applyAlignment="1" applyBorder="1" applyFont="1">
      <alignment horizontal="center" readingOrder="0"/>
    </xf>
    <xf borderId="0" fillId="0" fontId="17" numFmtId="0" xfId="0" applyAlignment="1" applyFont="1">
      <alignment horizontal="left" readingOrder="0"/>
    </xf>
    <xf borderId="1" fillId="17" fontId="17" numFmtId="3" xfId="0" applyAlignment="1" applyBorder="1" applyFont="1" applyNumberFormat="1">
      <alignment horizontal="right" readingOrder="0" shrinkToFit="0" vertical="bottom" wrapText="0"/>
    </xf>
    <xf borderId="6" fillId="0" fontId="17" numFmtId="0" xfId="0" applyAlignment="1" applyBorder="1" applyFont="1">
      <alignment horizontal="center" readingOrder="0" shrinkToFit="0" wrapText="1"/>
    </xf>
    <xf borderId="1" fillId="0" fontId="17" numFmtId="3" xfId="0" applyAlignment="1" applyBorder="1" applyFont="1" applyNumberFormat="1">
      <alignment shrinkToFit="0" vertical="bottom" wrapText="0"/>
    </xf>
    <xf borderId="0" fillId="0" fontId="17" numFmtId="0" xfId="0" applyFont="1"/>
    <xf borderId="0" fillId="0" fontId="1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6" width="8.71"/>
  </cols>
  <sheetData>
    <row r="1" ht="14.25" customHeight="1">
      <c r="A1" s="1" t="s">
        <v>0</v>
      </c>
    </row>
    <row r="2" ht="14.25" customHeight="1">
      <c r="A2" s="2"/>
      <c r="B2" s="3" t="s">
        <v>1</v>
      </c>
    </row>
    <row r="3" ht="14.25" customHeight="1"/>
    <row r="4" ht="14.25" customHeight="1">
      <c r="A4" s="1" t="s">
        <v>2</v>
      </c>
    </row>
    <row r="5" ht="14.25" customHeight="1">
      <c r="A5" s="2"/>
      <c r="B5" s="3" t="s">
        <v>3</v>
      </c>
    </row>
    <row r="6" ht="14.25" customHeight="1"/>
    <row r="7" ht="14.25" customHeight="1">
      <c r="A7" s="4" t="s">
        <v>4</v>
      </c>
    </row>
    <row r="8" ht="14.25" customHeight="1">
      <c r="A8" s="2"/>
      <c r="B8" s="3" t="s">
        <v>5</v>
      </c>
    </row>
    <row r="9" ht="14.25" customHeight="1"/>
    <row r="10" ht="14.25" customHeight="1">
      <c r="A10" s="1" t="s">
        <v>6</v>
      </c>
    </row>
    <row r="11" ht="14.25" customHeight="1">
      <c r="A11" s="2"/>
      <c r="B11" s="3" t="s">
        <v>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0"/>
    <col customWidth="1" min="4" max="4" width="29.14"/>
  </cols>
  <sheetData>
    <row r="3">
      <c r="B3" s="5" t="s">
        <v>8</v>
      </c>
      <c r="C3" s="6" t="s">
        <v>9</v>
      </c>
    </row>
    <row r="6">
      <c r="E6" s="7"/>
      <c r="F6" s="8"/>
      <c r="G6" s="8"/>
      <c r="H6" s="8"/>
      <c r="I6" s="8"/>
      <c r="J6" s="9"/>
    </row>
    <row r="7">
      <c r="E7" s="10"/>
      <c r="F7" s="11"/>
      <c r="G7" s="11"/>
      <c r="H7" s="11"/>
      <c r="I7" s="11"/>
      <c r="J7" s="12"/>
    </row>
    <row r="8">
      <c r="E8" s="10"/>
      <c r="F8" s="11"/>
      <c r="G8" s="11"/>
      <c r="H8" s="11"/>
      <c r="I8" s="11"/>
      <c r="J8" s="12"/>
    </row>
    <row r="9">
      <c r="E9" s="10"/>
      <c r="F9" s="11"/>
      <c r="G9" s="13" t="s">
        <v>10</v>
      </c>
      <c r="H9" s="11"/>
      <c r="I9" s="11"/>
      <c r="J9" s="12"/>
    </row>
    <row r="10">
      <c r="E10" s="10"/>
      <c r="F10" s="11"/>
      <c r="G10" s="11"/>
      <c r="H10" s="11"/>
      <c r="I10" s="11"/>
      <c r="J10" s="12"/>
    </row>
    <row r="11">
      <c r="E11" s="10"/>
      <c r="F11" s="11"/>
      <c r="G11" s="11"/>
      <c r="H11" s="11"/>
      <c r="I11" s="11"/>
      <c r="J11" s="12"/>
    </row>
    <row r="12">
      <c r="E12" s="14"/>
      <c r="F12" s="15"/>
      <c r="G12" s="15"/>
      <c r="H12" s="15"/>
      <c r="I12" s="15"/>
      <c r="J12" s="16"/>
    </row>
    <row r="18">
      <c r="B18" s="17" t="s">
        <v>8</v>
      </c>
      <c r="C18" s="18" t="s">
        <v>11</v>
      </c>
    </row>
    <row r="19">
      <c r="B19" s="19"/>
      <c r="C19" s="19"/>
    </row>
    <row r="20">
      <c r="B20" s="19"/>
      <c r="C20" s="19"/>
    </row>
    <row r="21">
      <c r="B21" s="20"/>
      <c r="C21" s="20"/>
    </row>
  </sheetData>
  <mergeCells count="2">
    <mergeCell ref="B18:B21"/>
    <mergeCell ref="C18:C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4.43"/>
  </cols>
  <sheetData>
    <row r="5">
      <c r="B5" s="21" t="s">
        <v>12</v>
      </c>
      <c r="C5" s="22"/>
      <c r="D5" s="22"/>
      <c r="E5" s="23"/>
      <c r="F5" s="23"/>
      <c r="G5" s="24"/>
      <c r="I5" s="25" t="s">
        <v>13</v>
      </c>
      <c r="J5" s="26"/>
      <c r="K5" s="26"/>
      <c r="L5" s="27"/>
    </row>
    <row r="6">
      <c r="B6" s="23"/>
      <c r="C6" s="23"/>
      <c r="D6" s="23"/>
      <c r="E6" s="23"/>
      <c r="F6" s="23"/>
      <c r="G6" s="24"/>
      <c r="I6" s="28"/>
      <c r="L6" s="29"/>
    </row>
    <row r="7">
      <c r="B7" s="30" t="s">
        <v>14</v>
      </c>
      <c r="C7" s="30" t="s">
        <v>15</v>
      </c>
      <c r="D7" s="30" t="s">
        <v>16</v>
      </c>
      <c r="E7" s="23"/>
      <c r="F7" s="23"/>
      <c r="G7" s="24"/>
      <c r="I7" s="28"/>
      <c r="L7" s="29"/>
    </row>
    <row r="8">
      <c r="B8" s="31">
        <v>19.0</v>
      </c>
      <c r="C8" s="31">
        <v>7.0</v>
      </c>
      <c r="D8" s="32"/>
      <c r="E8" s="33" t="s">
        <v>17</v>
      </c>
      <c r="F8" s="23"/>
      <c r="G8" s="24"/>
      <c r="I8" s="28"/>
      <c r="L8" s="29"/>
    </row>
    <row r="9">
      <c r="B9" s="23"/>
      <c r="C9" s="23"/>
      <c r="D9" s="23"/>
      <c r="E9" s="23"/>
      <c r="F9" s="23"/>
      <c r="G9" s="24"/>
      <c r="I9" s="28"/>
      <c r="L9" s="29"/>
    </row>
    <row r="10">
      <c r="A10" s="34"/>
      <c r="B10" s="30" t="s">
        <v>14</v>
      </c>
      <c r="C10" s="30" t="s">
        <v>15</v>
      </c>
      <c r="D10" s="30" t="s">
        <v>18</v>
      </c>
      <c r="E10" s="23"/>
      <c r="F10" s="23"/>
      <c r="G10" s="24"/>
      <c r="I10" s="35"/>
      <c r="J10" s="36"/>
      <c r="K10" s="36"/>
      <c r="L10" s="37"/>
    </row>
    <row r="11">
      <c r="B11" s="31">
        <v>18.0</v>
      </c>
      <c r="C11" s="31">
        <v>5.0</v>
      </c>
      <c r="D11" s="32"/>
      <c r="E11" s="33" t="s">
        <v>17</v>
      </c>
      <c r="F11" s="23"/>
      <c r="G11" s="24"/>
    </row>
    <row r="12">
      <c r="B12" s="23"/>
      <c r="C12" s="23"/>
      <c r="D12" s="23"/>
      <c r="E12" s="23"/>
      <c r="F12" s="23"/>
      <c r="G12" s="24"/>
    </row>
    <row r="13">
      <c r="B13" s="30" t="s">
        <v>14</v>
      </c>
      <c r="C13" s="30" t="s">
        <v>15</v>
      </c>
      <c r="D13" s="30" t="s">
        <v>19</v>
      </c>
      <c r="E13" s="23"/>
      <c r="F13" s="23"/>
      <c r="G13" s="24"/>
    </row>
    <row r="14">
      <c r="B14" s="31">
        <v>5.0</v>
      </c>
      <c r="C14" s="31">
        <v>8.0</v>
      </c>
      <c r="D14" s="32"/>
      <c r="E14" s="33" t="s">
        <v>17</v>
      </c>
      <c r="F14" s="23"/>
      <c r="G14" s="24"/>
    </row>
    <row r="15">
      <c r="B15" s="23"/>
      <c r="C15" s="23"/>
      <c r="D15" s="23"/>
      <c r="E15" s="23"/>
      <c r="F15" s="23"/>
      <c r="G15" s="24"/>
    </row>
    <row r="16">
      <c r="B16" s="30" t="s">
        <v>14</v>
      </c>
      <c r="C16" s="30" t="s">
        <v>15</v>
      </c>
      <c r="D16" s="30" t="s">
        <v>20</v>
      </c>
      <c r="E16" s="38"/>
      <c r="F16" s="23"/>
      <c r="G16" s="24"/>
    </row>
    <row r="17">
      <c r="B17" s="31">
        <v>144.0</v>
      </c>
      <c r="C17" s="31">
        <v>12.0</v>
      </c>
      <c r="D17" s="32"/>
      <c r="E17" s="33" t="s">
        <v>17</v>
      </c>
      <c r="F17" s="23"/>
      <c r="G17" s="24"/>
    </row>
    <row r="18">
      <c r="B18" s="39"/>
      <c r="C18" s="39"/>
      <c r="D18" s="39"/>
      <c r="E18" s="39"/>
      <c r="F18" s="39"/>
    </row>
    <row r="22">
      <c r="E22" s="40" t="s">
        <v>21</v>
      </c>
    </row>
    <row r="24">
      <c r="D24" s="41" t="str">
        <f>E22</f>
        <v>Hola</v>
      </c>
    </row>
  </sheetData>
  <mergeCells count="1">
    <mergeCell ref="I5:L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43"/>
    <col customWidth="1" min="6" max="6" width="18.29"/>
    <col customWidth="1" min="7" max="7" width="17.43"/>
  </cols>
  <sheetData>
    <row r="1">
      <c r="A1" s="42" t="s">
        <v>14</v>
      </c>
      <c r="B1" s="42" t="s">
        <v>15</v>
      </c>
      <c r="C1" s="42" t="s">
        <v>22</v>
      </c>
      <c r="E1" s="43"/>
      <c r="F1" s="44" t="s">
        <v>23</v>
      </c>
      <c r="G1" s="45">
        <v>0.77</v>
      </c>
      <c r="H1" s="43"/>
    </row>
    <row r="2">
      <c r="A2" s="44">
        <v>11.0</v>
      </c>
      <c r="B2" s="44">
        <v>3.0</v>
      </c>
      <c r="C2" s="43"/>
    </row>
    <row r="3">
      <c r="A3" s="44">
        <v>11.0</v>
      </c>
      <c r="B3" s="44">
        <v>13.0</v>
      </c>
      <c r="C3" s="43"/>
      <c r="E3" s="43"/>
      <c r="F3" s="42" t="s">
        <v>24</v>
      </c>
      <c r="G3" s="42" t="s">
        <v>25</v>
      </c>
      <c r="H3" s="43"/>
    </row>
    <row r="4">
      <c r="A4" s="44">
        <v>10.0</v>
      </c>
      <c r="B4" s="44">
        <v>12.0</v>
      </c>
      <c r="C4" s="43"/>
      <c r="E4" s="43"/>
      <c r="F4" s="44" t="s">
        <v>26</v>
      </c>
      <c r="G4" s="43" t="str">
        <f>F4*$G$1</f>
        <v>#VALUE!</v>
      </c>
      <c r="H4" s="43"/>
    </row>
    <row r="5">
      <c r="A5" s="44">
        <v>17.0</v>
      </c>
      <c r="B5" s="44">
        <v>11.0</v>
      </c>
      <c r="C5" s="43"/>
      <c r="E5" s="43"/>
      <c r="F5" s="46" t="s">
        <v>27</v>
      </c>
      <c r="G5" s="43"/>
      <c r="H5" s="43"/>
    </row>
    <row r="6">
      <c r="A6" s="44">
        <v>19.0</v>
      </c>
      <c r="B6" s="44">
        <v>6.0</v>
      </c>
      <c r="C6" s="43"/>
      <c r="E6" s="43"/>
      <c r="F6" s="46" t="s">
        <v>28</v>
      </c>
      <c r="G6" s="43"/>
      <c r="H6" s="43"/>
    </row>
    <row r="7">
      <c r="A7" s="44">
        <v>20.0</v>
      </c>
      <c r="B7" s="44">
        <v>14.0</v>
      </c>
      <c r="C7" s="43"/>
      <c r="E7" s="43"/>
      <c r="F7" s="46" t="s">
        <v>29</v>
      </c>
      <c r="G7" s="43"/>
      <c r="H7" s="43"/>
    </row>
    <row r="8">
      <c r="A8" s="44">
        <v>13.0</v>
      </c>
      <c r="B8" s="44">
        <v>13.0</v>
      </c>
      <c r="C8" s="43"/>
      <c r="E8" s="43"/>
      <c r="F8" s="46" t="s">
        <v>30</v>
      </c>
      <c r="G8" s="43"/>
      <c r="H8" s="43"/>
    </row>
    <row r="9">
      <c r="A9" s="44">
        <v>9.0</v>
      </c>
      <c r="B9" s="44">
        <v>12.0</v>
      </c>
      <c r="C9" s="43"/>
      <c r="E9" s="43"/>
      <c r="F9" s="46" t="s">
        <v>31</v>
      </c>
      <c r="G9" s="43"/>
      <c r="H9" s="43"/>
    </row>
    <row r="10">
      <c r="A10" s="44">
        <v>4.0</v>
      </c>
      <c r="B10" s="44">
        <v>7.0</v>
      </c>
      <c r="C10" s="43"/>
      <c r="E10" s="43"/>
      <c r="F10" s="46" t="s">
        <v>32</v>
      </c>
      <c r="G10" s="43"/>
      <c r="H10" s="43"/>
    </row>
    <row r="11">
      <c r="A11" s="44">
        <v>8.0</v>
      </c>
      <c r="B11" s="44">
        <v>8.0</v>
      </c>
      <c r="C11" s="43"/>
      <c r="E11" s="43"/>
      <c r="F11" s="46" t="s">
        <v>33</v>
      </c>
      <c r="G11" s="43"/>
      <c r="H11" s="43"/>
    </row>
    <row r="12">
      <c r="A12" s="44">
        <v>15.0</v>
      </c>
      <c r="B12" s="44">
        <v>9.0</v>
      </c>
      <c r="C12" s="43"/>
      <c r="E12" s="43"/>
      <c r="F12" s="46" t="s">
        <v>34</v>
      </c>
      <c r="G12" s="43"/>
      <c r="H12" s="43"/>
    </row>
    <row r="13">
      <c r="E13" s="43"/>
      <c r="F13" s="46" t="s">
        <v>35</v>
      </c>
      <c r="G13" s="43"/>
      <c r="H13" s="43"/>
    </row>
    <row r="14">
      <c r="E14" s="43"/>
      <c r="F14" s="46" t="s">
        <v>36</v>
      </c>
      <c r="G14" s="43"/>
      <c r="H14" s="43"/>
    </row>
    <row r="15">
      <c r="E15" s="43"/>
      <c r="F15" s="46" t="s">
        <v>37</v>
      </c>
      <c r="G15" s="43"/>
      <c r="H15" s="43"/>
    </row>
    <row r="16">
      <c r="E16" s="43"/>
      <c r="F16" s="46" t="s">
        <v>38</v>
      </c>
      <c r="G16" s="43"/>
      <c r="H16" s="43"/>
    </row>
    <row r="17">
      <c r="E17" s="43"/>
      <c r="F17" s="46" t="s">
        <v>39</v>
      </c>
      <c r="G17" s="43"/>
      <c r="H17" s="43"/>
    </row>
    <row r="26">
      <c r="A26" s="47"/>
      <c r="B26" s="48">
        <v>1.0</v>
      </c>
      <c r="C26" s="49">
        <v>2.0</v>
      </c>
      <c r="D26" s="49">
        <v>3.0</v>
      </c>
      <c r="E26" s="49">
        <v>4.0</v>
      </c>
      <c r="F26" s="49">
        <v>5.0</v>
      </c>
      <c r="G26" s="49">
        <v>6.0</v>
      </c>
      <c r="H26" s="49">
        <v>7.0</v>
      </c>
      <c r="I26" s="49">
        <v>8.0</v>
      </c>
      <c r="J26" s="49">
        <v>9.0</v>
      </c>
      <c r="K26" s="50">
        <v>10.0</v>
      </c>
    </row>
    <row r="27">
      <c r="A27" s="51">
        <v>1.0</v>
      </c>
      <c r="B27" s="43">
        <f t="shared" ref="B27:K27" si="1">$A27*B$26</f>
        <v>1</v>
      </c>
      <c r="C27" s="43">
        <f t="shared" si="1"/>
        <v>2</v>
      </c>
      <c r="D27" s="43">
        <f t="shared" si="1"/>
        <v>3</v>
      </c>
      <c r="E27" s="43">
        <f t="shared" si="1"/>
        <v>4</v>
      </c>
      <c r="F27" s="43">
        <f t="shared" si="1"/>
        <v>5</v>
      </c>
      <c r="G27" s="43">
        <f t="shared" si="1"/>
        <v>6</v>
      </c>
      <c r="H27" s="43">
        <f t="shared" si="1"/>
        <v>7</v>
      </c>
      <c r="I27" s="43">
        <f t="shared" si="1"/>
        <v>8</v>
      </c>
      <c r="J27" s="43">
        <f t="shared" si="1"/>
        <v>9</v>
      </c>
      <c r="K27" s="43">
        <f t="shared" si="1"/>
        <v>10</v>
      </c>
    </row>
    <row r="28">
      <c r="A28" s="51">
        <v>2.0</v>
      </c>
      <c r="B28" s="43">
        <f t="shared" ref="B28:K28" si="2">$A28*B$26</f>
        <v>2</v>
      </c>
      <c r="C28" s="43">
        <f t="shared" si="2"/>
        <v>4</v>
      </c>
      <c r="D28" s="43">
        <f t="shared" si="2"/>
        <v>6</v>
      </c>
      <c r="E28" s="43">
        <f t="shared" si="2"/>
        <v>8</v>
      </c>
      <c r="F28" s="43">
        <f t="shared" si="2"/>
        <v>10</v>
      </c>
      <c r="G28" s="43">
        <f t="shared" si="2"/>
        <v>12</v>
      </c>
      <c r="H28" s="43">
        <f t="shared" si="2"/>
        <v>14</v>
      </c>
      <c r="I28" s="43">
        <f t="shared" si="2"/>
        <v>16</v>
      </c>
      <c r="J28" s="43">
        <f t="shared" si="2"/>
        <v>18</v>
      </c>
      <c r="K28" s="43">
        <f t="shared" si="2"/>
        <v>20</v>
      </c>
    </row>
    <row r="29">
      <c r="A29" s="51">
        <v>3.0</v>
      </c>
      <c r="B29" s="43">
        <f t="shared" ref="B29:K29" si="3">$A29*B$26</f>
        <v>3</v>
      </c>
      <c r="C29" s="43">
        <f t="shared" si="3"/>
        <v>6</v>
      </c>
      <c r="D29" s="43">
        <f t="shared" si="3"/>
        <v>9</v>
      </c>
      <c r="E29" s="43">
        <f t="shared" si="3"/>
        <v>12</v>
      </c>
      <c r="F29" s="43">
        <f t="shared" si="3"/>
        <v>15</v>
      </c>
      <c r="G29" s="43">
        <f t="shared" si="3"/>
        <v>18</v>
      </c>
      <c r="H29" s="43">
        <f t="shared" si="3"/>
        <v>21</v>
      </c>
      <c r="I29" s="43">
        <f t="shared" si="3"/>
        <v>24</v>
      </c>
      <c r="J29" s="43">
        <f t="shared" si="3"/>
        <v>27</v>
      </c>
      <c r="K29" s="43">
        <f t="shared" si="3"/>
        <v>30</v>
      </c>
    </row>
    <row r="30">
      <c r="A30" s="51">
        <v>4.0</v>
      </c>
      <c r="B30" s="43">
        <f t="shared" ref="B30:K30" si="4">$A30*B$26</f>
        <v>4</v>
      </c>
      <c r="C30" s="43">
        <f t="shared" si="4"/>
        <v>8</v>
      </c>
      <c r="D30" s="43">
        <f t="shared" si="4"/>
        <v>12</v>
      </c>
      <c r="E30" s="43">
        <f t="shared" si="4"/>
        <v>16</v>
      </c>
      <c r="F30" s="43">
        <f t="shared" si="4"/>
        <v>20</v>
      </c>
      <c r="G30" s="43">
        <f t="shared" si="4"/>
        <v>24</v>
      </c>
      <c r="H30" s="43">
        <f t="shared" si="4"/>
        <v>28</v>
      </c>
      <c r="I30" s="43">
        <f t="shared" si="4"/>
        <v>32</v>
      </c>
      <c r="J30" s="43">
        <f t="shared" si="4"/>
        <v>36</v>
      </c>
      <c r="K30" s="43">
        <f t="shared" si="4"/>
        <v>40</v>
      </c>
    </row>
    <row r="31">
      <c r="A31" s="51">
        <v>5.0</v>
      </c>
      <c r="B31" s="43">
        <f t="shared" ref="B31:K31" si="5">$A31*B$26</f>
        <v>5</v>
      </c>
      <c r="C31" s="43">
        <f t="shared" si="5"/>
        <v>10</v>
      </c>
      <c r="D31" s="43">
        <f t="shared" si="5"/>
        <v>15</v>
      </c>
      <c r="E31" s="43">
        <f t="shared" si="5"/>
        <v>20</v>
      </c>
      <c r="F31" s="43">
        <f t="shared" si="5"/>
        <v>25</v>
      </c>
      <c r="G31" s="43">
        <f t="shared" si="5"/>
        <v>30</v>
      </c>
      <c r="H31" s="43">
        <f t="shared" si="5"/>
        <v>35</v>
      </c>
      <c r="I31" s="43">
        <f t="shared" si="5"/>
        <v>40</v>
      </c>
      <c r="J31" s="43">
        <f t="shared" si="5"/>
        <v>45</v>
      </c>
      <c r="K31" s="43">
        <f t="shared" si="5"/>
        <v>50</v>
      </c>
    </row>
    <row r="32">
      <c r="A32" s="51">
        <v>6.0</v>
      </c>
      <c r="B32" s="43">
        <f t="shared" ref="B32:K32" si="6">$A32*B$26</f>
        <v>6</v>
      </c>
      <c r="C32" s="43">
        <f t="shared" si="6"/>
        <v>12</v>
      </c>
      <c r="D32" s="43">
        <f t="shared" si="6"/>
        <v>18</v>
      </c>
      <c r="E32" s="43">
        <f t="shared" si="6"/>
        <v>24</v>
      </c>
      <c r="F32" s="43">
        <f t="shared" si="6"/>
        <v>30</v>
      </c>
      <c r="G32" s="43">
        <f t="shared" si="6"/>
        <v>36</v>
      </c>
      <c r="H32" s="43">
        <f t="shared" si="6"/>
        <v>42</v>
      </c>
      <c r="I32" s="43">
        <f t="shared" si="6"/>
        <v>48</v>
      </c>
      <c r="J32" s="43">
        <f t="shared" si="6"/>
        <v>54</v>
      </c>
      <c r="K32" s="43">
        <f t="shared" si="6"/>
        <v>60</v>
      </c>
    </row>
    <row r="33">
      <c r="A33" s="51">
        <v>7.0</v>
      </c>
      <c r="B33" s="43">
        <f t="shared" ref="B33:K33" si="7">$A33*B$26</f>
        <v>7</v>
      </c>
      <c r="C33" s="43">
        <f t="shared" si="7"/>
        <v>14</v>
      </c>
      <c r="D33" s="43">
        <f t="shared" si="7"/>
        <v>21</v>
      </c>
      <c r="E33" s="43">
        <f t="shared" si="7"/>
        <v>28</v>
      </c>
      <c r="F33" s="43">
        <f t="shared" si="7"/>
        <v>35</v>
      </c>
      <c r="G33" s="43">
        <f t="shared" si="7"/>
        <v>42</v>
      </c>
      <c r="H33" s="43">
        <f t="shared" si="7"/>
        <v>49</v>
      </c>
      <c r="I33" s="43">
        <f t="shared" si="7"/>
        <v>56</v>
      </c>
      <c r="J33" s="43">
        <f t="shared" si="7"/>
        <v>63</v>
      </c>
      <c r="K33" s="43">
        <f t="shared" si="7"/>
        <v>70</v>
      </c>
    </row>
    <row r="34">
      <c r="A34" s="51">
        <v>8.0</v>
      </c>
      <c r="B34" s="43">
        <f t="shared" ref="B34:K34" si="8">$A34*B$26</f>
        <v>8</v>
      </c>
      <c r="C34" s="43">
        <f t="shared" si="8"/>
        <v>16</v>
      </c>
      <c r="D34" s="43">
        <f t="shared" si="8"/>
        <v>24</v>
      </c>
      <c r="E34" s="43">
        <f t="shared" si="8"/>
        <v>32</v>
      </c>
      <c r="F34" s="43">
        <f t="shared" si="8"/>
        <v>40</v>
      </c>
      <c r="G34" s="43">
        <f t="shared" si="8"/>
        <v>48</v>
      </c>
      <c r="H34" s="43">
        <f t="shared" si="8"/>
        <v>56</v>
      </c>
      <c r="I34" s="43">
        <f t="shared" si="8"/>
        <v>64</v>
      </c>
      <c r="J34" s="43">
        <f t="shared" si="8"/>
        <v>72</v>
      </c>
      <c r="K34" s="43">
        <f t="shared" si="8"/>
        <v>80</v>
      </c>
    </row>
    <row r="35">
      <c r="A35" s="51">
        <v>9.0</v>
      </c>
      <c r="B35" s="43">
        <f t="shared" ref="B35:K35" si="9">$A35*B$26</f>
        <v>9</v>
      </c>
      <c r="C35" s="43">
        <f t="shared" si="9"/>
        <v>18</v>
      </c>
      <c r="D35" s="43">
        <f t="shared" si="9"/>
        <v>27</v>
      </c>
      <c r="E35" s="43">
        <f t="shared" si="9"/>
        <v>36</v>
      </c>
      <c r="F35" s="43">
        <f t="shared" si="9"/>
        <v>45</v>
      </c>
      <c r="G35" s="43">
        <f t="shared" si="9"/>
        <v>54</v>
      </c>
      <c r="H35" s="43">
        <f t="shared" si="9"/>
        <v>63</v>
      </c>
      <c r="I35" s="43">
        <f t="shared" si="9"/>
        <v>72</v>
      </c>
      <c r="J35" s="43">
        <f t="shared" si="9"/>
        <v>81</v>
      </c>
      <c r="K35" s="43">
        <f t="shared" si="9"/>
        <v>90</v>
      </c>
    </row>
    <row r="36">
      <c r="A36" s="52">
        <v>10.0</v>
      </c>
      <c r="B36" s="43">
        <f t="shared" ref="B36:K36" si="10">$A36*B$26</f>
        <v>10</v>
      </c>
      <c r="C36" s="43">
        <f t="shared" si="10"/>
        <v>20</v>
      </c>
      <c r="D36" s="43">
        <f t="shared" si="10"/>
        <v>30</v>
      </c>
      <c r="E36" s="43">
        <f t="shared" si="10"/>
        <v>40</v>
      </c>
      <c r="F36" s="43">
        <f t="shared" si="10"/>
        <v>50</v>
      </c>
      <c r="G36" s="43">
        <f t="shared" si="10"/>
        <v>60</v>
      </c>
      <c r="H36" s="43">
        <f t="shared" si="10"/>
        <v>70</v>
      </c>
      <c r="I36" s="43">
        <f t="shared" si="10"/>
        <v>80</v>
      </c>
      <c r="J36" s="43">
        <f t="shared" si="10"/>
        <v>90</v>
      </c>
      <c r="K36" s="43">
        <f t="shared" si="10"/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14"/>
  </cols>
  <sheetData>
    <row r="2">
      <c r="A2" s="53"/>
      <c r="B2" s="54"/>
      <c r="C2" s="54"/>
      <c r="D2" s="54"/>
      <c r="E2" s="54"/>
      <c r="F2" s="55"/>
    </row>
    <row r="3">
      <c r="A3" s="56"/>
      <c r="B3" s="57" t="s">
        <v>40</v>
      </c>
      <c r="C3" s="57" t="s">
        <v>41</v>
      </c>
      <c r="D3" s="58"/>
      <c r="E3" s="58"/>
      <c r="F3" s="59"/>
    </row>
    <row r="4">
      <c r="A4" s="56"/>
      <c r="B4" s="60" t="s">
        <v>42</v>
      </c>
      <c r="C4" s="61">
        <v>3.0</v>
      </c>
      <c r="D4" s="58"/>
      <c r="E4" s="58"/>
      <c r="F4" s="59"/>
    </row>
    <row r="5">
      <c r="A5" s="56"/>
      <c r="B5" s="60" t="s">
        <v>43</v>
      </c>
      <c r="C5" s="61">
        <v>5.0</v>
      </c>
      <c r="D5" s="58"/>
      <c r="E5" s="58"/>
      <c r="F5" s="59"/>
    </row>
    <row r="6">
      <c r="A6" s="56"/>
      <c r="B6" s="60" t="s">
        <v>44</v>
      </c>
      <c r="C6" s="61">
        <v>2.0</v>
      </c>
      <c r="D6" s="58"/>
      <c r="E6" s="58"/>
      <c r="F6" s="59"/>
    </row>
    <row r="7">
      <c r="A7" s="56"/>
      <c r="B7" s="60" t="s">
        <v>45</v>
      </c>
      <c r="C7" s="61">
        <v>6.0</v>
      </c>
      <c r="D7" s="58"/>
      <c r="E7" s="58"/>
      <c r="F7" s="59"/>
    </row>
    <row r="8">
      <c r="A8" s="56"/>
      <c r="B8" s="60" t="s">
        <v>46</v>
      </c>
      <c r="C8" s="61">
        <v>8.0</v>
      </c>
      <c r="D8" s="58"/>
      <c r="E8" s="58"/>
      <c r="F8" s="59"/>
    </row>
    <row r="9">
      <c r="A9" s="56"/>
      <c r="B9" s="60" t="s">
        <v>47</v>
      </c>
      <c r="C9" s="62"/>
      <c r="D9" s="60" t="s">
        <v>48</v>
      </c>
      <c r="E9" s="58"/>
      <c r="F9" s="59"/>
    </row>
    <row r="10">
      <c r="A10" s="63"/>
      <c r="B10" s="64"/>
      <c r="C10" s="64"/>
      <c r="D10" s="64"/>
      <c r="E10" s="64"/>
      <c r="F10" s="65"/>
    </row>
    <row r="14">
      <c r="A14" s="66"/>
      <c r="B14" s="66"/>
      <c r="C14" s="66"/>
      <c r="D14" s="66"/>
      <c r="E14" s="66"/>
      <c r="F14" s="66"/>
    </row>
    <row r="15">
      <c r="A15" s="67" t="s">
        <v>49</v>
      </c>
      <c r="B15" s="68">
        <v>2016.0</v>
      </c>
      <c r="C15" s="68">
        <v>2017.0</v>
      </c>
      <c r="D15" s="68">
        <v>2018.0</v>
      </c>
      <c r="E15" s="67" t="s">
        <v>50</v>
      </c>
      <c r="F15" s="66"/>
    </row>
    <row r="16">
      <c r="A16" s="67" t="s">
        <v>51</v>
      </c>
      <c r="B16" s="69" t="s">
        <v>52</v>
      </c>
      <c r="C16" s="69" t="s">
        <v>53</v>
      </c>
      <c r="D16" s="69" t="s">
        <v>54</v>
      </c>
      <c r="E16" s="70"/>
      <c r="F16" s="71"/>
    </row>
    <row r="17">
      <c r="A17" s="67" t="s">
        <v>55</v>
      </c>
      <c r="B17" s="69" t="s">
        <v>56</v>
      </c>
      <c r="C17" s="69" t="s">
        <v>57</v>
      </c>
      <c r="D17" s="69" t="s">
        <v>58</v>
      </c>
      <c r="E17" s="70"/>
      <c r="F17" s="66"/>
    </row>
    <row r="18">
      <c r="A18" s="67" t="s">
        <v>59</v>
      </c>
      <c r="B18" s="69" t="s">
        <v>60</v>
      </c>
      <c r="C18" s="69" t="s">
        <v>61</v>
      </c>
      <c r="D18" s="69" t="s">
        <v>62</v>
      </c>
      <c r="E18" s="70"/>
      <c r="F18" s="6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72" t="s">
        <v>40</v>
      </c>
      <c r="C3" s="72" t="s">
        <v>41</v>
      </c>
      <c r="D3" s="66"/>
    </row>
    <row r="4">
      <c r="B4" s="73" t="s">
        <v>42</v>
      </c>
      <c r="C4" s="74">
        <v>3.0</v>
      </c>
      <c r="D4" s="66"/>
    </row>
    <row r="5">
      <c r="B5" s="73" t="s">
        <v>43</v>
      </c>
      <c r="C5" s="74">
        <v>5.0</v>
      </c>
      <c r="D5" s="66"/>
    </row>
    <row r="6">
      <c r="B6" s="73" t="s">
        <v>44</v>
      </c>
      <c r="C6" s="74">
        <v>2.0</v>
      </c>
      <c r="D6" s="66"/>
    </row>
    <row r="7">
      <c r="B7" s="73" t="s">
        <v>45</v>
      </c>
      <c r="C7" s="74">
        <v>6.0</v>
      </c>
      <c r="D7" s="66"/>
    </row>
    <row r="8">
      <c r="B8" s="73" t="s">
        <v>46</v>
      </c>
      <c r="C8" s="74">
        <v>8.0</v>
      </c>
      <c r="D8" s="66"/>
    </row>
    <row r="9">
      <c r="B9" s="73" t="s">
        <v>63</v>
      </c>
      <c r="C9" s="75"/>
      <c r="D9" s="67" t="s">
        <v>48</v>
      </c>
    </row>
    <row r="15">
      <c r="B15" s="66"/>
      <c r="C15" s="76" t="s">
        <v>64</v>
      </c>
      <c r="D15" s="66"/>
      <c r="E15" s="66"/>
      <c r="F15" s="66"/>
      <c r="G15" s="66"/>
      <c r="H15" s="66"/>
    </row>
    <row r="16">
      <c r="B16" s="66"/>
      <c r="C16" s="77" t="s">
        <v>65</v>
      </c>
      <c r="D16" s="66"/>
      <c r="E16" s="66"/>
      <c r="F16" s="66"/>
      <c r="G16" s="66"/>
      <c r="H16" s="66"/>
    </row>
    <row r="17">
      <c r="B17" s="66"/>
      <c r="D17" s="66"/>
      <c r="E17" s="66"/>
      <c r="F17" s="66"/>
      <c r="G17" s="66"/>
      <c r="H17" s="66"/>
    </row>
    <row r="18">
      <c r="B18" s="66"/>
      <c r="C18" s="78">
        <v>67.0</v>
      </c>
      <c r="D18" s="79">
        <v>78.0</v>
      </c>
      <c r="E18" s="79">
        <v>66.0</v>
      </c>
      <c r="F18" s="79">
        <v>92.0</v>
      </c>
      <c r="G18" s="80">
        <v>27.0</v>
      </c>
      <c r="H18" s="66"/>
    </row>
    <row r="19">
      <c r="B19" s="66"/>
      <c r="C19" s="81">
        <v>81.0</v>
      </c>
      <c r="D19" s="69">
        <v>36.0</v>
      </c>
      <c r="E19" s="69">
        <v>100.0</v>
      </c>
      <c r="F19" s="69">
        <v>85.0</v>
      </c>
      <c r="G19" s="82">
        <v>60.0</v>
      </c>
      <c r="H19" s="66"/>
    </row>
    <row r="20">
      <c r="B20" s="66"/>
      <c r="C20" s="81">
        <v>99.0</v>
      </c>
      <c r="D20" s="69">
        <v>78.0</v>
      </c>
      <c r="E20" s="69">
        <v>91.0</v>
      </c>
      <c r="F20" s="69">
        <v>41.0</v>
      </c>
      <c r="G20" s="82">
        <v>83.0</v>
      </c>
      <c r="H20" s="66"/>
    </row>
    <row r="21">
      <c r="B21" s="66"/>
      <c r="C21" s="81">
        <v>55.0</v>
      </c>
      <c r="D21" s="69">
        <v>8.0</v>
      </c>
      <c r="E21" s="69">
        <v>12.0</v>
      </c>
      <c r="F21" s="69">
        <v>8.0</v>
      </c>
      <c r="G21" s="82">
        <v>16.0</v>
      </c>
      <c r="H21" s="66"/>
    </row>
    <row r="22">
      <c r="B22" s="66"/>
      <c r="C22" s="81">
        <v>21.0</v>
      </c>
      <c r="D22" s="69">
        <v>52.0</v>
      </c>
      <c r="E22" s="69">
        <v>22.0</v>
      </c>
      <c r="F22" s="69">
        <v>58.0</v>
      </c>
      <c r="G22" s="82">
        <v>13.0</v>
      </c>
      <c r="H22" s="66"/>
    </row>
    <row r="23">
      <c r="B23" s="66"/>
      <c r="C23" s="81">
        <v>84.0</v>
      </c>
      <c r="D23" s="69">
        <v>32.0</v>
      </c>
      <c r="E23" s="69">
        <v>8.0</v>
      </c>
      <c r="F23" s="69">
        <v>30.0</v>
      </c>
      <c r="G23" s="82">
        <v>12.0</v>
      </c>
      <c r="H23" s="66"/>
    </row>
    <row r="24">
      <c r="B24" s="66"/>
      <c r="C24" s="81">
        <v>76.0</v>
      </c>
      <c r="D24" s="69">
        <v>97.0</v>
      </c>
      <c r="E24" s="69">
        <v>96.0</v>
      </c>
      <c r="F24" s="69">
        <v>81.0</v>
      </c>
      <c r="G24" s="82">
        <v>14.0</v>
      </c>
      <c r="H24" s="66"/>
    </row>
    <row r="25">
      <c r="B25" s="66"/>
      <c r="C25" s="81">
        <v>42.0</v>
      </c>
      <c r="D25" s="69">
        <v>38.0</v>
      </c>
      <c r="E25" s="69">
        <v>66.0</v>
      </c>
      <c r="F25" s="69">
        <v>10.0</v>
      </c>
      <c r="G25" s="82">
        <v>50.0</v>
      </c>
      <c r="H25" s="66"/>
    </row>
    <row r="26">
      <c r="B26" s="66"/>
      <c r="C26" s="83">
        <v>28.0</v>
      </c>
      <c r="D26" s="84">
        <v>14.0</v>
      </c>
      <c r="E26" s="84">
        <v>87.0</v>
      </c>
      <c r="F26" s="84">
        <v>80.0</v>
      </c>
      <c r="G26" s="85">
        <v>24.0</v>
      </c>
      <c r="H26" s="66"/>
    </row>
    <row r="27">
      <c r="B27" s="66"/>
      <c r="D27" s="66"/>
      <c r="E27" s="66"/>
      <c r="F27" s="66"/>
      <c r="G27" s="66"/>
      <c r="H27" s="66"/>
    </row>
    <row r="28">
      <c r="B28" s="66"/>
      <c r="C28" s="77" t="s">
        <v>66</v>
      </c>
      <c r="D28" s="66"/>
      <c r="E28" s="66"/>
      <c r="F28" s="66"/>
      <c r="G28" s="66"/>
      <c r="H28" s="66"/>
    </row>
    <row r="29">
      <c r="B29" s="66"/>
      <c r="C29" s="77" t="s">
        <v>67</v>
      </c>
      <c r="D29" s="66"/>
      <c r="E29" s="66"/>
      <c r="F29" s="66"/>
      <c r="G29" s="66"/>
      <c r="H29" s="66"/>
    </row>
    <row r="30">
      <c r="B30" s="66"/>
      <c r="D30" s="66"/>
      <c r="E30" s="66"/>
      <c r="F30" s="66"/>
      <c r="G30" s="66"/>
      <c r="H30" s="66"/>
    </row>
    <row r="31">
      <c r="B31" s="66"/>
      <c r="D31" s="66"/>
      <c r="E31" s="77" t="s">
        <v>68</v>
      </c>
      <c r="F31" s="66"/>
      <c r="G31" s="66"/>
      <c r="H31" s="71"/>
    </row>
  </sheetData>
  <mergeCells count="4">
    <mergeCell ref="B17:C17"/>
    <mergeCell ref="B27:C27"/>
    <mergeCell ref="B30:C30"/>
    <mergeCell ref="B31:C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B2" s="72" t="s">
        <v>40</v>
      </c>
      <c r="C2" s="72" t="s">
        <v>41</v>
      </c>
      <c r="D2" s="66"/>
      <c r="F2" s="66"/>
      <c r="G2" s="77"/>
    </row>
    <row r="3">
      <c r="B3" s="73" t="s">
        <v>42</v>
      </c>
      <c r="C3" s="74">
        <v>3.0</v>
      </c>
      <c r="D3" s="66"/>
      <c r="F3" s="66"/>
      <c r="G3" s="66"/>
    </row>
    <row r="4">
      <c r="B4" s="73" t="s">
        <v>43</v>
      </c>
      <c r="C4" s="74">
        <v>5.0</v>
      </c>
      <c r="D4" s="66"/>
      <c r="F4" s="66"/>
      <c r="G4" s="66"/>
    </row>
    <row r="5">
      <c r="B5" s="73" t="s">
        <v>44</v>
      </c>
      <c r="C5" s="74">
        <v>2.0</v>
      </c>
      <c r="D5" s="66"/>
      <c r="F5" s="66"/>
      <c r="G5" s="66"/>
    </row>
    <row r="6">
      <c r="B6" s="73" t="s">
        <v>45</v>
      </c>
      <c r="C6" s="74">
        <v>6.0</v>
      </c>
      <c r="D6" s="66"/>
      <c r="F6" s="66"/>
      <c r="G6" s="66"/>
    </row>
    <row r="7">
      <c r="B7" s="73" t="s">
        <v>46</v>
      </c>
      <c r="C7" s="74">
        <v>8.0</v>
      </c>
      <c r="D7" s="66"/>
      <c r="F7" s="66"/>
      <c r="G7" s="66"/>
    </row>
    <row r="8">
      <c r="B8" s="73" t="s">
        <v>69</v>
      </c>
      <c r="C8" s="75"/>
      <c r="D8" s="67" t="s">
        <v>48</v>
      </c>
      <c r="F8" s="66"/>
      <c r="G8" s="66"/>
    </row>
    <row r="13">
      <c r="B13" s="67" t="s">
        <v>70</v>
      </c>
      <c r="C13" s="66"/>
      <c r="D13" s="66"/>
      <c r="E13" s="66"/>
      <c r="F13" s="66"/>
    </row>
    <row r="14">
      <c r="B14" s="66"/>
      <c r="C14" s="66"/>
      <c r="D14" s="66"/>
      <c r="E14" s="66"/>
      <c r="F14" s="66"/>
    </row>
    <row r="15">
      <c r="B15" s="86">
        <v>47.0</v>
      </c>
      <c r="C15" s="87">
        <v>115.0</v>
      </c>
      <c r="D15" s="87">
        <v>290.0</v>
      </c>
      <c r="E15" s="87">
        <v>112.0</v>
      </c>
      <c r="F15" s="88">
        <v>367.0</v>
      </c>
    </row>
    <row r="16">
      <c r="B16" s="89">
        <v>130.0</v>
      </c>
      <c r="C16" s="90">
        <v>48.0</v>
      </c>
      <c r="D16" s="90">
        <v>139.0</v>
      </c>
      <c r="E16" s="90">
        <v>352.0</v>
      </c>
      <c r="F16" s="91">
        <v>119.0</v>
      </c>
    </row>
    <row r="17">
      <c r="B17" s="89">
        <v>324.0</v>
      </c>
      <c r="C17" s="90">
        <v>219.0</v>
      </c>
      <c r="D17" s="90">
        <v>351.0</v>
      </c>
      <c r="E17" s="90">
        <v>123.0</v>
      </c>
      <c r="F17" s="91">
        <v>372.0</v>
      </c>
    </row>
    <row r="18">
      <c r="B18" s="89">
        <v>8.0</v>
      </c>
      <c r="C18" s="90">
        <v>11.0</v>
      </c>
      <c r="D18" s="90">
        <v>283.0</v>
      </c>
      <c r="E18" s="90">
        <v>248.0</v>
      </c>
      <c r="F18" s="91">
        <v>34.0</v>
      </c>
    </row>
    <row r="19">
      <c r="B19" s="89">
        <v>183.0</v>
      </c>
      <c r="C19" s="90">
        <v>373.0</v>
      </c>
      <c r="D19" s="90">
        <v>200.0</v>
      </c>
      <c r="E19" s="90">
        <v>146.0</v>
      </c>
      <c r="F19" s="91">
        <v>42.0</v>
      </c>
    </row>
    <row r="20">
      <c r="B20" s="89">
        <v>355.0</v>
      </c>
      <c r="C20" s="90">
        <v>317.0</v>
      </c>
      <c r="D20" s="90">
        <v>287.0</v>
      </c>
      <c r="E20" s="90">
        <v>94.0</v>
      </c>
      <c r="F20" s="91">
        <v>154.0</v>
      </c>
    </row>
    <row r="21">
      <c r="B21" s="89">
        <v>371.0</v>
      </c>
      <c r="C21" s="90">
        <v>190.0</v>
      </c>
      <c r="D21" s="90">
        <v>311.0</v>
      </c>
      <c r="E21" s="90">
        <v>308.0</v>
      </c>
      <c r="F21" s="91">
        <v>31.0</v>
      </c>
    </row>
    <row r="22">
      <c r="B22" s="89">
        <v>236.0</v>
      </c>
      <c r="C22" s="90">
        <v>89.0</v>
      </c>
      <c r="D22" s="90">
        <v>272.0</v>
      </c>
      <c r="E22" s="90">
        <v>197.0</v>
      </c>
      <c r="F22" s="91">
        <v>98.0</v>
      </c>
    </row>
    <row r="23">
      <c r="B23" s="89">
        <v>49.0</v>
      </c>
      <c r="C23" s="90">
        <v>97.0</v>
      </c>
      <c r="D23" s="90">
        <v>259.0</v>
      </c>
      <c r="E23" s="90">
        <v>226.0</v>
      </c>
      <c r="F23" s="91">
        <v>160.0</v>
      </c>
    </row>
    <row r="24">
      <c r="B24" s="92">
        <v>288.0</v>
      </c>
      <c r="C24" s="93">
        <v>218.0</v>
      </c>
      <c r="D24" s="93">
        <v>351.0</v>
      </c>
      <c r="E24" s="93">
        <v>60.0</v>
      </c>
      <c r="F24" s="94">
        <v>125.0</v>
      </c>
    </row>
    <row r="25">
      <c r="B25" s="66"/>
      <c r="C25" s="95" t="s">
        <v>71</v>
      </c>
      <c r="D25" s="96"/>
      <c r="E25" s="95"/>
      <c r="F25" s="66"/>
    </row>
    <row r="26">
      <c r="B26" s="67" t="s">
        <v>72</v>
      </c>
      <c r="C26" s="74">
        <v>8.0</v>
      </c>
      <c r="D26" s="66"/>
      <c r="E26" s="66"/>
      <c r="F26" s="66"/>
    </row>
    <row r="27">
      <c r="B27" s="66"/>
      <c r="C27" s="66"/>
      <c r="D27" s="66"/>
      <c r="E27" s="66"/>
      <c r="F27" s="66"/>
    </row>
    <row r="28">
      <c r="B28" s="66"/>
      <c r="C28" s="95"/>
      <c r="D28" s="96"/>
      <c r="E28" s="96"/>
      <c r="F28" s="96"/>
    </row>
    <row r="29">
      <c r="B29" s="66"/>
      <c r="C29" s="96"/>
      <c r="D29" s="96"/>
      <c r="E29" s="95"/>
      <c r="F29" s="96"/>
    </row>
    <row r="30">
      <c r="B30" s="66"/>
      <c r="C30" s="77"/>
      <c r="D30" s="66"/>
      <c r="E30" s="66"/>
      <c r="F30" s="66"/>
    </row>
    <row r="31">
      <c r="B31" s="66"/>
      <c r="C31" s="77"/>
      <c r="D31" s="66"/>
      <c r="E31" s="66"/>
      <c r="F31" s="66"/>
    </row>
  </sheetData>
  <mergeCells count="7">
    <mergeCell ref="D2:E2"/>
    <mergeCell ref="D3:E3"/>
    <mergeCell ref="D4:E4"/>
    <mergeCell ref="D5:E5"/>
    <mergeCell ref="D6:E6"/>
    <mergeCell ref="D7:E7"/>
    <mergeCell ref="D8:E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7" max="7" width="21.14"/>
  </cols>
  <sheetData>
    <row r="1">
      <c r="A1" s="97" t="s">
        <v>73</v>
      </c>
      <c r="B1" s="98"/>
      <c r="C1" s="98"/>
      <c r="G1" s="97" t="s">
        <v>74</v>
      </c>
      <c r="H1" s="98"/>
      <c r="I1" s="98"/>
      <c r="J1" s="99"/>
    </row>
    <row r="2">
      <c r="A2" s="66"/>
      <c r="B2" s="77" t="s">
        <v>75</v>
      </c>
      <c r="C2" s="66"/>
      <c r="G2" s="66"/>
      <c r="H2" s="69">
        <v>1.0</v>
      </c>
      <c r="I2" s="66"/>
    </row>
    <row r="3">
      <c r="A3" s="66"/>
      <c r="B3" s="77" t="s">
        <v>76</v>
      </c>
      <c r="C3" s="66"/>
      <c r="G3" s="66"/>
      <c r="H3" s="77" t="s">
        <v>77</v>
      </c>
      <c r="I3" s="66"/>
    </row>
    <row r="4">
      <c r="A4" s="66"/>
      <c r="B4" s="77" t="s">
        <v>78</v>
      </c>
      <c r="C4" s="66"/>
      <c r="G4" s="66"/>
      <c r="H4" s="69">
        <v>3.0</v>
      </c>
      <c r="I4" s="66"/>
    </row>
    <row r="5">
      <c r="A5" s="66"/>
      <c r="B5" s="77" t="s">
        <v>79</v>
      </c>
      <c r="C5" s="66"/>
      <c r="G5" s="66"/>
      <c r="H5" s="77" t="s">
        <v>80</v>
      </c>
      <c r="I5" s="66"/>
    </row>
    <row r="6">
      <c r="A6" s="66"/>
      <c r="B6" s="77" t="s">
        <v>81</v>
      </c>
      <c r="C6" s="66"/>
      <c r="G6" s="66"/>
      <c r="H6" s="69">
        <v>5.0</v>
      </c>
      <c r="I6" s="66"/>
    </row>
    <row r="7">
      <c r="A7" s="66"/>
      <c r="B7" s="77" t="s">
        <v>82</v>
      </c>
      <c r="C7" s="66"/>
      <c r="G7" s="66"/>
      <c r="H7" s="77" t="s">
        <v>83</v>
      </c>
      <c r="I7" s="66"/>
    </row>
    <row r="8">
      <c r="A8" s="77" t="s">
        <v>84</v>
      </c>
      <c r="B8" s="75"/>
      <c r="C8" s="97" t="s">
        <v>48</v>
      </c>
      <c r="G8" s="66"/>
      <c r="H8" s="77" t="s">
        <v>85</v>
      </c>
      <c r="I8" s="66"/>
    </row>
    <row r="9">
      <c r="G9" s="66"/>
      <c r="H9" s="69">
        <v>8.0</v>
      </c>
      <c r="I9" s="66"/>
    </row>
    <row r="10">
      <c r="G10" s="77" t="s">
        <v>86</v>
      </c>
      <c r="H10" s="75"/>
      <c r="I10" s="97" t="s">
        <v>48</v>
      </c>
    </row>
    <row r="17">
      <c r="B17" s="66"/>
      <c r="C17" s="76" t="s">
        <v>87</v>
      </c>
      <c r="D17" s="66"/>
      <c r="E17" s="66"/>
      <c r="F17" s="66"/>
      <c r="G17" s="66"/>
      <c r="H17" s="66"/>
      <c r="I17" s="71"/>
    </row>
    <row r="18">
      <c r="B18" s="66"/>
      <c r="C18" s="77" t="s">
        <v>88</v>
      </c>
      <c r="D18" s="66"/>
      <c r="E18" s="66"/>
      <c r="F18" s="66"/>
      <c r="G18" s="66"/>
      <c r="H18" s="66"/>
      <c r="I18" s="66"/>
    </row>
    <row r="19">
      <c r="B19" s="66"/>
      <c r="C19" s="66"/>
      <c r="D19" s="66"/>
      <c r="E19" s="66"/>
      <c r="F19" s="66"/>
      <c r="G19" s="66"/>
      <c r="H19" s="66"/>
      <c r="I19" s="66"/>
    </row>
    <row r="20">
      <c r="B20" s="66"/>
      <c r="C20" s="100">
        <v>999.0</v>
      </c>
      <c r="D20" s="101" t="s">
        <v>89</v>
      </c>
      <c r="E20" s="101">
        <v>999.0</v>
      </c>
      <c r="F20" s="101">
        <v>999.0</v>
      </c>
      <c r="G20" s="101" t="s">
        <v>89</v>
      </c>
      <c r="H20" s="102">
        <v>999.0</v>
      </c>
      <c r="I20" s="66"/>
    </row>
    <row r="21">
      <c r="B21" s="66"/>
      <c r="C21" s="103">
        <v>999.0</v>
      </c>
      <c r="D21" s="104">
        <v>999.0</v>
      </c>
      <c r="E21" s="104">
        <v>999.0</v>
      </c>
      <c r="F21" s="104">
        <v>999.0</v>
      </c>
      <c r="G21" s="104">
        <v>999.0</v>
      </c>
      <c r="H21" s="105">
        <v>999.0</v>
      </c>
      <c r="I21" s="66"/>
    </row>
    <row r="22">
      <c r="B22" s="66"/>
      <c r="C22" s="103" t="s">
        <v>89</v>
      </c>
      <c r="D22" s="104">
        <v>999.0</v>
      </c>
      <c r="E22" s="104">
        <v>999.0</v>
      </c>
      <c r="F22" s="104">
        <v>999.0</v>
      </c>
      <c r="G22" s="104">
        <v>999.0</v>
      </c>
      <c r="H22" s="105" t="s">
        <v>89</v>
      </c>
      <c r="I22" s="66"/>
    </row>
    <row r="23">
      <c r="B23" s="66"/>
      <c r="C23" s="103">
        <v>999.0</v>
      </c>
      <c r="D23" s="104">
        <v>999.0</v>
      </c>
      <c r="E23" s="104">
        <v>999.0</v>
      </c>
      <c r="F23" s="104">
        <v>999.0</v>
      </c>
      <c r="G23" s="104">
        <v>999.0</v>
      </c>
      <c r="H23" s="105">
        <v>999.0</v>
      </c>
      <c r="I23" s="66"/>
    </row>
    <row r="24">
      <c r="B24" s="66"/>
      <c r="C24" s="103">
        <v>999.0</v>
      </c>
      <c r="D24" s="104">
        <v>999.0</v>
      </c>
      <c r="E24" s="104">
        <v>999.0</v>
      </c>
      <c r="F24" s="104">
        <v>999.0</v>
      </c>
      <c r="G24" s="104">
        <v>999.0</v>
      </c>
      <c r="H24" s="105">
        <v>999.0</v>
      </c>
      <c r="I24" s="66"/>
    </row>
    <row r="25">
      <c r="B25" s="66"/>
      <c r="C25" s="103">
        <v>999.0</v>
      </c>
      <c r="D25" s="104">
        <v>999.0</v>
      </c>
      <c r="E25" s="104">
        <v>999.0</v>
      </c>
      <c r="F25" s="104">
        <v>999.0</v>
      </c>
      <c r="G25" s="104">
        <v>999.0</v>
      </c>
      <c r="H25" s="105">
        <v>999.0</v>
      </c>
      <c r="I25" s="66"/>
    </row>
    <row r="26">
      <c r="B26" s="66"/>
      <c r="C26" s="103">
        <v>999.0</v>
      </c>
      <c r="D26" s="104">
        <v>999.0</v>
      </c>
      <c r="E26" s="104">
        <v>999.0</v>
      </c>
      <c r="F26" s="104">
        <v>999.0</v>
      </c>
      <c r="G26" s="104">
        <v>999.0</v>
      </c>
      <c r="H26" s="105">
        <v>999.0</v>
      </c>
      <c r="I26" s="66"/>
    </row>
    <row r="27">
      <c r="B27" s="66"/>
      <c r="C27" s="103" t="s">
        <v>89</v>
      </c>
      <c r="D27" s="104">
        <v>999.0</v>
      </c>
      <c r="E27" s="104">
        <v>999.0</v>
      </c>
      <c r="F27" s="104">
        <v>999.0</v>
      </c>
      <c r="G27" s="104">
        <v>999.0</v>
      </c>
      <c r="H27" s="105" t="s">
        <v>89</v>
      </c>
      <c r="I27" s="66"/>
    </row>
    <row r="28">
      <c r="B28" s="66"/>
      <c r="C28" s="103">
        <v>999.0</v>
      </c>
      <c r="D28" s="104">
        <v>999.0</v>
      </c>
      <c r="E28" s="104">
        <v>999.0</v>
      </c>
      <c r="F28" s="104">
        <v>999.0</v>
      </c>
      <c r="G28" s="104">
        <v>999.0</v>
      </c>
      <c r="H28" s="105">
        <v>999.0</v>
      </c>
      <c r="I28" s="66"/>
    </row>
    <row r="29">
      <c r="B29" s="66"/>
      <c r="C29" s="106">
        <v>999.0</v>
      </c>
      <c r="D29" s="107" t="s">
        <v>89</v>
      </c>
      <c r="E29" s="107">
        <v>999.0</v>
      </c>
      <c r="F29" s="107">
        <v>999.0</v>
      </c>
      <c r="G29" s="107" t="s">
        <v>89</v>
      </c>
      <c r="H29" s="108">
        <v>999.0</v>
      </c>
      <c r="I29" s="66"/>
    </row>
    <row r="30">
      <c r="B30" s="66"/>
      <c r="C30" s="66"/>
      <c r="D30" s="66"/>
      <c r="E30" s="66"/>
      <c r="F30" s="66"/>
      <c r="G30" s="66"/>
      <c r="H30" s="66"/>
      <c r="I30" s="66"/>
    </row>
    <row r="31">
      <c r="B31" s="66"/>
      <c r="C31" s="67" t="s">
        <v>90</v>
      </c>
      <c r="D31" s="66"/>
      <c r="E31" s="66"/>
      <c r="F31" s="66"/>
      <c r="G31" s="66"/>
      <c r="H31" s="66"/>
      <c r="I31" s="66"/>
    </row>
    <row r="32">
      <c r="B32" s="66"/>
      <c r="C32" s="109"/>
      <c r="D32" s="77" t="s">
        <v>91</v>
      </c>
      <c r="E32" s="66"/>
      <c r="F32" s="66"/>
      <c r="G32" s="110" t="s">
        <v>92</v>
      </c>
      <c r="H32" s="66"/>
      <c r="I32" s="66"/>
    </row>
  </sheetData>
  <hyperlinks>
    <hyperlink r:id="rId1" location="COUNT2 Answer!A1" ref="G3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93</v>
      </c>
      <c r="B1" s="66"/>
      <c r="C1" s="66"/>
    </row>
    <row r="2">
      <c r="A2" s="67" t="s">
        <v>40</v>
      </c>
      <c r="B2" s="67" t="s">
        <v>94</v>
      </c>
      <c r="C2" s="66"/>
    </row>
    <row r="3">
      <c r="A3" s="77" t="s">
        <v>95</v>
      </c>
      <c r="B3" s="69">
        <v>20.0</v>
      </c>
      <c r="C3" s="66"/>
    </row>
    <row r="4">
      <c r="A4" s="77" t="s">
        <v>96</v>
      </c>
      <c r="B4" s="69">
        <v>16.0</v>
      </c>
      <c r="C4" s="66"/>
    </row>
    <row r="5">
      <c r="A5" s="77" t="s">
        <v>97</v>
      </c>
      <c r="B5" s="69">
        <v>19.0</v>
      </c>
      <c r="C5" s="66"/>
    </row>
    <row r="6">
      <c r="A6" s="77" t="s">
        <v>98</v>
      </c>
      <c r="B6" s="69">
        <v>3.0</v>
      </c>
      <c r="C6" s="66"/>
    </row>
    <row r="7">
      <c r="A7" s="77" t="s">
        <v>99</v>
      </c>
      <c r="B7" s="69">
        <v>9.0</v>
      </c>
      <c r="C7" s="66"/>
    </row>
    <row r="8">
      <c r="A8" s="77" t="s">
        <v>100</v>
      </c>
      <c r="B8" s="69">
        <v>7.0</v>
      </c>
      <c r="C8" s="66"/>
    </row>
    <row r="9">
      <c r="A9" s="77" t="s">
        <v>101</v>
      </c>
      <c r="B9" s="69">
        <v>12.0</v>
      </c>
      <c r="C9" s="66"/>
    </row>
    <row r="10">
      <c r="A10" s="77" t="s">
        <v>102</v>
      </c>
      <c r="B10" s="111"/>
      <c r="C10" s="67" t="s">
        <v>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57"/>
    <col customWidth="1" min="6" max="6" width="21.0"/>
    <col customWidth="1" min="7" max="7" width="32.86"/>
    <col customWidth="1" min="10" max="10" width="44.0"/>
  </cols>
  <sheetData>
    <row r="4">
      <c r="D4" s="112" t="s">
        <v>103</v>
      </c>
      <c r="E4" s="26"/>
      <c r="F4" s="26"/>
      <c r="G4" s="26"/>
      <c r="H4" s="26"/>
      <c r="I4" s="26"/>
      <c r="J4" s="27"/>
    </row>
    <row r="5">
      <c r="D5" s="28"/>
      <c r="J5" s="29"/>
    </row>
    <row r="6">
      <c r="D6" s="113"/>
      <c r="E6" s="114"/>
      <c r="F6" s="114"/>
      <c r="G6" s="114"/>
      <c r="H6" s="114"/>
      <c r="I6" s="114"/>
      <c r="J6" s="115"/>
    </row>
    <row r="7">
      <c r="D7" s="116" t="s">
        <v>104</v>
      </c>
      <c r="J7" s="29"/>
    </row>
    <row r="8" ht="1.5" customHeight="1">
      <c r="D8" s="35"/>
      <c r="E8" s="36"/>
      <c r="F8" s="36"/>
      <c r="G8" s="36"/>
      <c r="H8" s="36"/>
      <c r="I8" s="36"/>
      <c r="J8" s="37"/>
    </row>
    <row r="10">
      <c r="D10" s="117"/>
      <c r="E10" s="118"/>
      <c r="F10" s="119"/>
      <c r="G10" s="120"/>
      <c r="H10" s="54"/>
      <c r="I10" s="55"/>
    </row>
    <row r="11">
      <c r="D11" s="121"/>
      <c r="E11" s="67" t="s">
        <v>40</v>
      </c>
      <c r="F11" s="67" t="s">
        <v>94</v>
      </c>
      <c r="G11" s="67" t="s">
        <v>105</v>
      </c>
      <c r="I11" s="122"/>
    </row>
    <row r="12">
      <c r="D12" s="121"/>
      <c r="E12" s="77" t="s">
        <v>106</v>
      </c>
      <c r="F12" s="69">
        <v>12.0</v>
      </c>
      <c r="G12" s="123"/>
      <c r="I12" s="122"/>
    </row>
    <row r="13">
      <c r="D13" s="124"/>
      <c r="E13" s="77" t="s">
        <v>107</v>
      </c>
      <c r="F13" s="69">
        <v>23.0</v>
      </c>
      <c r="G13" s="123"/>
      <c r="I13" s="122"/>
    </row>
    <row r="14">
      <c r="D14" s="125"/>
      <c r="E14" s="126"/>
      <c r="F14" s="69"/>
      <c r="G14" s="69"/>
      <c r="I14" s="122"/>
    </row>
    <row r="15">
      <c r="D15" s="127"/>
      <c r="E15" s="67" t="s">
        <v>108</v>
      </c>
      <c r="F15" s="67" t="s">
        <v>109</v>
      </c>
      <c r="I15" s="122"/>
    </row>
    <row r="16">
      <c r="D16" s="127"/>
      <c r="E16" s="77"/>
      <c r="F16" s="69"/>
      <c r="G16" s="66"/>
      <c r="I16" s="122"/>
    </row>
    <row r="17">
      <c r="D17" s="128"/>
      <c r="E17" s="129"/>
      <c r="F17" s="84"/>
      <c r="G17" s="130"/>
      <c r="H17" s="131"/>
      <c r="I17" s="65"/>
    </row>
    <row r="18">
      <c r="E18" s="77"/>
      <c r="F18" s="69"/>
      <c r="G18" s="66"/>
    </row>
    <row r="19">
      <c r="E19" s="77"/>
      <c r="F19" s="132"/>
      <c r="G19" s="67"/>
    </row>
    <row r="22">
      <c r="C22" s="133" t="s">
        <v>110</v>
      </c>
      <c r="D22" s="26"/>
      <c r="E22" s="26"/>
      <c r="F22" s="26"/>
      <c r="G22" s="27"/>
      <c r="H22" s="66"/>
    </row>
    <row r="23">
      <c r="C23" s="28"/>
      <c r="G23" s="29"/>
      <c r="H23" s="66"/>
    </row>
    <row r="24">
      <c r="C24" s="28"/>
      <c r="G24" s="29"/>
      <c r="H24" s="66"/>
    </row>
    <row r="25">
      <c r="C25" s="35"/>
      <c r="D25" s="36"/>
      <c r="E25" s="36"/>
      <c r="F25" s="36"/>
      <c r="G25" s="37"/>
      <c r="H25" s="66"/>
    </row>
    <row r="26">
      <c r="C26" s="66"/>
      <c r="D26" s="66"/>
      <c r="E26" s="66"/>
      <c r="F26" s="66"/>
      <c r="G26" s="66"/>
      <c r="H26" s="66"/>
    </row>
    <row r="27">
      <c r="C27" s="66"/>
      <c r="D27" s="66"/>
      <c r="E27" s="66"/>
      <c r="F27" s="66"/>
      <c r="G27" s="66"/>
      <c r="H27" s="66"/>
    </row>
    <row r="28">
      <c r="C28" s="134" t="s">
        <v>111</v>
      </c>
      <c r="D28" s="135"/>
      <c r="E28" s="135"/>
      <c r="F28" s="135"/>
      <c r="G28" s="135"/>
      <c r="H28" s="66"/>
    </row>
    <row r="29">
      <c r="C29" s="136" t="s">
        <v>112</v>
      </c>
      <c r="D29" s="80">
        <v>57.0</v>
      </c>
      <c r="E29" s="137" t="s">
        <v>113</v>
      </c>
      <c r="F29" s="26"/>
      <c r="G29" s="27"/>
      <c r="H29" s="66"/>
    </row>
    <row r="30">
      <c r="C30" s="121" t="s">
        <v>114</v>
      </c>
      <c r="D30" s="138" t="s">
        <v>115</v>
      </c>
      <c r="E30" s="28"/>
      <c r="G30" s="29"/>
      <c r="H30" s="66"/>
    </row>
    <row r="31">
      <c r="C31" s="139" t="s">
        <v>116</v>
      </c>
      <c r="D31" s="85">
        <v>4.55</v>
      </c>
      <c r="E31" s="35"/>
      <c r="F31" s="36"/>
      <c r="G31" s="37"/>
      <c r="H31" s="66"/>
    </row>
    <row r="32">
      <c r="C32" s="66"/>
      <c r="D32" s="66"/>
      <c r="E32" s="66"/>
      <c r="F32" s="66"/>
      <c r="G32" s="66"/>
      <c r="H32" s="66"/>
    </row>
    <row r="33">
      <c r="C33" s="66"/>
      <c r="D33" s="66"/>
      <c r="E33" s="140" t="s">
        <v>117</v>
      </c>
    </row>
    <row r="34">
      <c r="C34" s="67" t="s">
        <v>118</v>
      </c>
      <c r="D34" s="141" t="str">
        <f>IF(D30= "Full-Time", IF(D31&gt;4.5, "Yes", "No"), "No")</f>
        <v>No</v>
      </c>
    </row>
    <row r="35">
      <c r="C35" s="66"/>
      <c r="D35" s="66"/>
    </row>
    <row r="36">
      <c r="C36" s="66"/>
      <c r="D36" s="66"/>
      <c r="E36" s="142"/>
      <c r="F36" s="142"/>
      <c r="G36" s="142"/>
      <c r="H36" s="142"/>
    </row>
    <row r="37">
      <c r="C37" s="66"/>
      <c r="D37" s="66"/>
      <c r="E37" s="142"/>
      <c r="F37" s="142"/>
      <c r="G37" s="142"/>
      <c r="H37" s="142"/>
    </row>
    <row r="38">
      <c r="C38" s="77" t="s">
        <v>119</v>
      </c>
      <c r="D38" s="66"/>
      <c r="E38" s="66"/>
      <c r="F38" s="66"/>
      <c r="G38" s="66"/>
      <c r="H38" s="66"/>
    </row>
    <row r="39">
      <c r="C39" s="66"/>
      <c r="D39" s="66"/>
      <c r="E39" s="66"/>
      <c r="F39" s="66"/>
      <c r="G39" s="66"/>
      <c r="H39" s="66"/>
    </row>
    <row r="70">
      <c r="C70" s="40" t="s">
        <v>120</v>
      </c>
    </row>
  </sheetData>
  <mergeCells count="6">
    <mergeCell ref="D4:J5"/>
    <mergeCell ref="D7:J8"/>
    <mergeCell ref="F15:G15"/>
    <mergeCell ref="C22:G25"/>
    <mergeCell ref="E29:G31"/>
    <mergeCell ref="E33:H3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121</v>
      </c>
      <c r="B1" s="66"/>
      <c r="C1" s="66"/>
      <c r="D1" s="66"/>
      <c r="G1" s="67" t="s">
        <v>122</v>
      </c>
      <c r="H1" s="66"/>
      <c r="I1" s="66"/>
      <c r="J1" s="66"/>
      <c r="K1" s="66"/>
      <c r="L1" s="66"/>
    </row>
    <row r="2">
      <c r="A2" s="67" t="s">
        <v>123</v>
      </c>
      <c r="B2" s="67" t="s">
        <v>124</v>
      </c>
      <c r="C2" s="67" t="s">
        <v>125</v>
      </c>
      <c r="D2" s="66"/>
      <c r="G2" s="67" t="s">
        <v>126</v>
      </c>
      <c r="H2" s="67" t="s">
        <v>127</v>
      </c>
      <c r="I2" s="67" t="s">
        <v>128</v>
      </c>
      <c r="J2" s="66"/>
      <c r="K2" s="66"/>
      <c r="L2" s="66"/>
    </row>
    <row r="3">
      <c r="A3" s="77" t="s">
        <v>129</v>
      </c>
      <c r="B3" s="77" t="s">
        <v>130</v>
      </c>
      <c r="C3" s="69">
        <v>10.0</v>
      </c>
      <c r="D3" s="66"/>
      <c r="G3" s="77" t="s">
        <v>131</v>
      </c>
      <c r="H3" s="77" t="s">
        <v>97</v>
      </c>
      <c r="I3" s="69">
        <v>77.0</v>
      </c>
      <c r="J3" s="66"/>
      <c r="K3" s="66"/>
      <c r="L3" s="66"/>
    </row>
    <row r="4">
      <c r="A4" s="77" t="s">
        <v>132</v>
      </c>
      <c r="B4" s="77" t="s">
        <v>133</v>
      </c>
      <c r="C4" s="69">
        <v>20.0</v>
      </c>
      <c r="D4" s="66"/>
      <c r="G4" s="77" t="s">
        <v>134</v>
      </c>
      <c r="H4" s="77" t="s">
        <v>135</v>
      </c>
      <c r="I4" s="69">
        <v>71.0</v>
      </c>
      <c r="J4" s="66"/>
      <c r="K4" s="66"/>
      <c r="L4" s="66"/>
    </row>
    <row r="5">
      <c r="A5" s="77" t="s">
        <v>136</v>
      </c>
      <c r="B5" s="77" t="s">
        <v>130</v>
      </c>
      <c r="C5" s="69">
        <v>15.0</v>
      </c>
      <c r="D5" s="66"/>
      <c r="G5" s="77" t="s">
        <v>137</v>
      </c>
      <c r="H5" s="77" t="s">
        <v>138</v>
      </c>
      <c r="I5" s="69">
        <v>75.0</v>
      </c>
      <c r="J5" s="66"/>
      <c r="K5" s="66"/>
      <c r="L5" s="66"/>
    </row>
    <row r="6">
      <c r="A6" s="77" t="s">
        <v>139</v>
      </c>
      <c r="B6" s="77" t="s">
        <v>133</v>
      </c>
      <c r="C6" s="69">
        <v>17.0</v>
      </c>
      <c r="D6" s="66"/>
      <c r="G6" s="77" t="s">
        <v>131</v>
      </c>
      <c r="H6" s="77" t="s">
        <v>140</v>
      </c>
      <c r="I6" s="69">
        <v>67.0</v>
      </c>
      <c r="J6" s="66"/>
      <c r="K6" s="66"/>
      <c r="L6" s="66"/>
    </row>
    <row r="7">
      <c r="A7" s="77" t="s">
        <v>141</v>
      </c>
      <c r="B7" s="77" t="s">
        <v>130</v>
      </c>
      <c r="C7" s="69">
        <v>44.0</v>
      </c>
      <c r="D7" s="66"/>
      <c r="G7" s="77" t="s">
        <v>134</v>
      </c>
      <c r="H7" s="77" t="s">
        <v>46</v>
      </c>
      <c r="I7" s="69">
        <v>89.0</v>
      </c>
      <c r="J7" s="66"/>
      <c r="K7" s="66"/>
      <c r="L7" s="66"/>
    </row>
    <row r="8">
      <c r="A8" s="77" t="s">
        <v>142</v>
      </c>
      <c r="B8" s="77" t="s">
        <v>133</v>
      </c>
      <c r="C8" s="69">
        <v>90.0</v>
      </c>
      <c r="D8" s="66"/>
      <c r="G8" s="77" t="s">
        <v>143</v>
      </c>
      <c r="H8" s="77" t="s">
        <v>144</v>
      </c>
      <c r="I8" s="69">
        <v>87.0</v>
      </c>
      <c r="J8" s="66"/>
      <c r="K8" s="66"/>
      <c r="L8" s="66"/>
    </row>
    <row r="9">
      <c r="A9" s="66"/>
      <c r="B9" s="67" t="s">
        <v>145</v>
      </c>
      <c r="C9" s="111">
        <f>SUMIF(B3:B8, "Yellow",C3:C8)</f>
        <v>127</v>
      </c>
      <c r="D9" s="67" t="s">
        <v>48</v>
      </c>
      <c r="G9" s="77" t="s">
        <v>146</v>
      </c>
      <c r="H9" s="77" t="s">
        <v>147</v>
      </c>
      <c r="I9" s="69">
        <v>77.0</v>
      </c>
      <c r="J9" s="66"/>
      <c r="K9" s="66"/>
      <c r="L9" s="66"/>
    </row>
    <row r="10">
      <c r="G10" s="77" t="s">
        <v>131</v>
      </c>
      <c r="H10" s="77" t="s">
        <v>148</v>
      </c>
      <c r="I10" s="69">
        <v>60.0</v>
      </c>
      <c r="J10" s="66"/>
      <c r="K10" s="66"/>
      <c r="L10" s="66"/>
    </row>
    <row r="11">
      <c r="G11" s="77" t="s">
        <v>134</v>
      </c>
      <c r="H11" s="77" t="s">
        <v>149</v>
      </c>
      <c r="I11" s="69">
        <v>83.0</v>
      </c>
      <c r="J11" s="66"/>
      <c r="K11" s="66"/>
      <c r="L11" s="66"/>
    </row>
    <row r="12">
      <c r="G12" s="66"/>
      <c r="H12" s="67" t="s">
        <v>150</v>
      </c>
      <c r="I12" s="66"/>
      <c r="J12" s="66"/>
      <c r="K12" s="66"/>
      <c r="L12" s="66"/>
    </row>
    <row r="13">
      <c r="G13" s="66"/>
      <c r="H13" s="67" t="s">
        <v>134</v>
      </c>
      <c r="I13" s="111">
        <f>AVERAGEIF(G3:G11, "Ohio", I3:I11)</f>
        <v>81</v>
      </c>
      <c r="J13" s="67" t="s">
        <v>151</v>
      </c>
      <c r="K13" s="66"/>
      <c r="L13" s="66"/>
    </row>
    <row r="14">
      <c r="A14" s="67" t="s">
        <v>152</v>
      </c>
      <c r="B14" s="66"/>
      <c r="C14" s="66"/>
      <c r="G14" s="66"/>
      <c r="H14" s="66"/>
      <c r="I14" s="66"/>
      <c r="J14" s="66"/>
      <c r="K14" s="66"/>
      <c r="L14" s="66"/>
    </row>
    <row r="15">
      <c r="A15" s="67" t="s">
        <v>123</v>
      </c>
      <c r="B15" s="67" t="s">
        <v>124</v>
      </c>
      <c r="C15" s="66"/>
    </row>
    <row r="16">
      <c r="A16" s="77" t="s">
        <v>129</v>
      </c>
      <c r="B16" s="77" t="s">
        <v>130</v>
      </c>
      <c r="C16" s="66"/>
    </row>
    <row r="17">
      <c r="A17" s="77" t="s">
        <v>132</v>
      </c>
      <c r="B17" s="77" t="s">
        <v>133</v>
      </c>
      <c r="C17" s="66"/>
    </row>
    <row r="18">
      <c r="A18" s="77" t="s">
        <v>136</v>
      </c>
      <c r="B18" s="77" t="s">
        <v>130</v>
      </c>
      <c r="C18" s="66"/>
    </row>
    <row r="19">
      <c r="A19" s="77" t="s">
        <v>139</v>
      </c>
      <c r="B19" s="77" t="s">
        <v>133</v>
      </c>
      <c r="C19" s="66"/>
    </row>
    <row r="20">
      <c r="A20" s="77" t="s">
        <v>141</v>
      </c>
      <c r="B20" s="77" t="s">
        <v>130</v>
      </c>
      <c r="C20" s="66"/>
    </row>
    <row r="21">
      <c r="A21" s="77" t="s">
        <v>142</v>
      </c>
      <c r="B21" s="77" t="s">
        <v>133</v>
      </c>
      <c r="C21" s="66"/>
    </row>
    <row r="22">
      <c r="A22" s="77" t="s">
        <v>153</v>
      </c>
      <c r="B22" s="111">
        <f>COUNTIF(B16:B21, "Yellow")</f>
        <v>3</v>
      </c>
      <c r="C22" s="67" t="s">
        <v>48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C3" s="143"/>
      <c r="D3" s="99"/>
      <c r="E3" s="99"/>
      <c r="F3" s="99"/>
      <c r="G3" s="99"/>
      <c r="H3" s="99"/>
      <c r="I3" s="99"/>
      <c r="J3" s="99"/>
      <c r="K3" s="99"/>
      <c r="L3" s="99"/>
      <c r="M3" s="99"/>
    </row>
    <row r="4">
      <c r="C4" s="144" t="s">
        <v>154</v>
      </c>
      <c r="D4" s="99"/>
      <c r="E4" s="99"/>
      <c r="F4" s="99"/>
      <c r="G4" s="99"/>
      <c r="H4" s="99"/>
      <c r="I4" s="99"/>
      <c r="J4" s="99"/>
      <c r="K4" s="99"/>
      <c r="L4" s="99"/>
      <c r="M4" s="99"/>
    </row>
    <row r="6">
      <c r="C6" s="67" t="s">
        <v>155</v>
      </c>
      <c r="D6" s="66"/>
      <c r="E6" s="66"/>
      <c r="F6" s="66"/>
      <c r="G6" s="66"/>
      <c r="H6" s="66"/>
    </row>
    <row r="7">
      <c r="C7" s="67" t="s">
        <v>156</v>
      </c>
      <c r="D7" s="66"/>
      <c r="E7" s="66"/>
      <c r="F7" s="66"/>
      <c r="G7" s="66"/>
      <c r="H7" s="66"/>
    </row>
    <row r="8">
      <c r="C8" s="72" t="s">
        <v>157</v>
      </c>
      <c r="D8" s="72" t="s">
        <v>158</v>
      </c>
      <c r="E8" s="72" t="s">
        <v>126</v>
      </c>
      <c r="F8" s="72" t="s">
        <v>51</v>
      </c>
      <c r="G8" s="66"/>
      <c r="H8" s="66"/>
    </row>
    <row r="9">
      <c r="C9" s="145">
        <v>1.0</v>
      </c>
      <c r="D9" s="73" t="s">
        <v>159</v>
      </c>
      <c r="E9" s="73" t="s">
        <v>160</v>
      </c>
      <c r="F9" s="146">
        <v>492.0</v>
      </c>
      <c r="G9" s="66"/>
      <c r="H9" s="66"/>
    </row>
    <row r="10">
      <c r="C10" s="145">
        <v>2.0</v>
      </c>
      <c r="D10" s="73" t="s">
        <v>161</v>
      </c>
      <c r="E10" s="73" t="s">
        <v>162</v>
      </c>
      <c r="F10" s="146">
        <v>124.0</v>
      </c>
      <c r="G10" s="66"/>
      <c r="H10" s="66"/>
    </row>
    <row r="11">
      <c r="C11" s="145">
        <v>3.0</v>
      </c>
      <c r="D11" s="73" t="s">
        <v>159</v>
      </c>
      <c r="E11" s="73" t="s">
        <v>163</v>
      </c>
      <c r="F11" s="146">
        <v>555.0</v>
      </c>
      <c r="G11" s="66"/>
      <c r="H11" s="66"/>
    </row>
    <row r="12">
      <c r="C12" s="145">
        <v>4.0</v>
      </c>
      <c r="D12" s="73" t="s">
        <v>159</v>
      </c>
      <c r="E12" s="73" t="s">
        <v>160</v>
      </c>
      <c r="F12" s="146">
        <v>100.0</v>
      </c>
      <c r="G12" s="66"/>
      <c r="H12" s="66"/>
    </row>
    <row r="13">
      <c r="C13" s="145">
        <v>5.0</v>
      </c>
      <c r="D13" s="73" t="s">
        <v>164</v>
      </c>
      <c r="E13" s="73" t="s">
        <v>160</v>
      </c>
      <c r="F13" s="146">
        <v>8.0</v>
      </c>
      <c r="G13" s="66"/>
      <c r="H13" s="66"/>
    </row>
    <row r="14">
      <c r="C14" s="145">
        <v>6.0</v>
      </c>
      <c r="D14" s="73" t="s">
        <v>164</v>
      </c>
      <c r="E14" s="73" t="s">
        <v>165</v>
      </c>
      <c r="F14" s="146">
        <v>201.0</v>
      </c>
      <c r="G14" s="66"/>
      <c r="H14" s="66"/>
    </row>
    <row r="15">
      <c r="C15" s="145">
        <v>7.0</v>
      </c>
      <c r="D15" s="73" t="s">
        <v>159</v>
      </c>
      <c r="E15" s="73" t="s">
        <v>160</v>
      </c>
      <c r="F15" s="146">
        <v>20.0</v>
      </c>
      <c r="G15" s="66"/>
      <c r="H15" s="66"/>
    </row>
    <row r="16">
      <c r="C16" s="145">
        <v>8.0</v>
      </c>
      <c r="D16" s="73" t="s">
        <v>161</v>
      </c>
      <c r="E16" s="73" t="s">
        <v>162</v>
      </c>
      <c r="F16" s="146">
        <v>43.0</v>
      </c>
      <c r="G16" s="66"/>
      <c r="H16" s="66"/>
    </row>
    <row r="17">
      <c r="C17" s="145">
        <v>9.0</v>
      </c>
      <c r="D17" s="73" t="s">
        <v>159</v>
      </c>
      <c r="E17" s="73" t="s">
        <v>162</v>
      </c>
      <c r="F17" s="146">
        <v>108.0</v>
      </c>
      <c r="G17" s="66"/>
      <c r="H17" s="66"/>
    </row>
    <row r="18">
      <c r="C18" s="145">
        <v>10.0</v>
      </c>
      <c r="D18" s="73" t="s">
        <v>164</v>
      </c>
      <c r="E18" s="73" t="s">
        <v>163</v>
      </c>
      <c r="F18" s="146">
        <v>172.0</v>
      </c>
      <c r="G18" s="66"/>
      <c r="H18" s="66"/>
    </row>
    <row r="19">
      <c r="C19" s="66"/>
      <c r="D19" s="66"/>
      <c r="E19" s="66"/>
      <c r="F19" s="66"/>
      <c r="G19" s="66"/>
      <c r="H19" s="66"/>
    </row>
    <row r="20">
      <c r="C20" s="66"/>
      <c r="D20" s="66"/>
      <c r="E20" s="66"/>
      <c r="F20" s="66"/>
      <c r="G20" s="66"/>
      <c r="H20" s="66"/>
    </row>
    <row r="21">
      <c r="C21" s="66"/>
      <c r="D21" s="77" t="s">
        <v>118</v>
      </c>
      <c r="E21" s="111">
        <f>SUMIFS(F9:F18, D9:D18, "Gold", E9:E18, "NY")</f>
        <v>612</v>
      </c>
      <c r="F21" s="67" t="s">
        <v>151</v>
      </c>
      <c r="G21" s="66"/>
      <c r="H21" s="66"/>
    </row>
    <row r="25">
      <c r="C25" s="147" t="s">
        <v>166</v>
      </c>
    </row>
    <row r="27">
      <c r="C27" s="67" t="s">
        <v>167</v>
      </c>
      <c r="D27" s="66"/>
      <c r="E27" s="66"/>
      <c r="F27" s="66"/>
      <c r="G27" s="66"/>
      <c r="H27" s="66"/>
    </row>
    <row r="28">
      <c r="C28" s="72" t="s">
        <v>40</v>
      </c>
      <c r="D28" s="72" t="s">
        <v>168</v>
      </c>
      <c r="E28" s="72" t="s">
        <v>94</v>
      </c>
      <c r="F28" s="66"/>
      <c r="G28" s="66"/>
      <c r="H28" s="66"/>
    </row>
    <row r="29">
      <c r="C29" s="73" t="s">
        <v>169</v>
      </c>
      <c r="D29" s="73" t="s">
        <v>170</v>
      </c>
      <c r="E29" s="146">
        <v>12.0</v>
      </c>
      <c r="F29" s="66"/>
      <c r="G29" s="66"/>
      <c r="H29" s="66"/>
    </row>
    <row r="30">
      <c r="C30" s="73" t="s">
        <v>95</v>
      </c>
      <c r="D30" s="73" t="s">
        <v>170</v>
      </c>
      <c r="E30" s="146">
        <v>14.0</v>
      </c>
      <c r="F30" s="66"/>
      <c r="G30" s="66"/>
      <c r="H30" s="66"/>
    </row>
    <row r="31">
      <c r="C31" s="73" t="s">
        <v>171</v>
      </c>
      <c r="D31" s="73" t="s">
        <v>172</v>
      </c>
      <c r="E31" s="146">
        <v>24.0</v>
      </c>
      <c r="F31" s="66"/>
      <c r="G31" s="66"/>
      <c r="H31" s="66"/>
    </row>
    <row r="32">
      <c r="C32" s="73" t="s">
        <v>173</v>
      </c>
      <c r="D32" s="73" t="s">
        <v>172</v>
      </c>
      <c r="E32" s="146">
        <v>32.0</v>
      </c>
      <c r="F32" s="66"/>
      <c r="G32" s="66"/>
      <c r="H32" s="66"/>
    </row>
    <row r="33">
      <c r="C33" s="73" t="s">
        <v>174</v>
      </c>
      <c r="D33" s="73" t="s">
        <v>170</v>
      </c>
      <c r="E33" s="146">
        <v>12.0</v>
      </c>
      <c r="F33" s="66"/>
      <c r="G33" s="66"/>
      <c r="H33" s="66"/>
    </row>
    <row r="34">
      <c r="C34" s="73" t="s">
        <v>175</v>
      </c>
      <c r="D34" s="73" t="s">
        <v>170</v>
      </c>
      <c r="E34" s="146">
        <v>17.0</v>
      </c>
      <c r="F34" s="66"/>
      <c r="G34" s="66"/>
      <c r="H34" s="66"/>
    </row>
    <row r="35">
      <c r="C35" s="66"/>
      <c r="D35" s="66"/>
      <c r="E35" s="66"/>
      <c r="F35" s="66"/>
      <c r="G35" s="66"/>
      <c r="H35" s="66"/>
    </row>
    <row r="36">
      <c r="C36" s="66"/>
      <c r="D36" s="77" t="s">
        <v>118</v>
      </c>
      <c r="E36" s="111">
        <f>COUNTIFS(E29:E34, "&gt;13", D29:D34, "Boy")</f>
        <v>2</v>
      </c>
      <c r="F36" s="67" t="s">
        <v>176</v>
      </c>
      <c r="G36" s="66"/>
      <c r="H36" s="66"/>
    </row>
  </sheetData>
  <hyperlinks>
    <hyperlink r:id="rId1" ref="C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7" t="s">
        <v>177</v>
      </c>
      <c r="B1" s="148"/>
      <c r="C1" s="66"/>
      <c r="D1" s="66"/>
      <c r="E1" s="66"/>
    </row>
    <row r="2">
      <c r="A2" s="148"/>
      <c r="B2" s="148"/>
      <c r="C2" s="148"/>
      <c r="D2" s="148"/>
      <c r="E2" s="66"/>
    </row>
    <row r="3">
      <c r="A3" s="149" t="s">
        <v>178</v>
      </c>
      <c r="B3" s="149" t="s">
        <v>179</v>
      </c>
      <c r="C3" s="148"/>
      <c r="D3" s="148"/>
      <c r="E3" s="66"/>
    </row>
    <row r="4">
      <c r="A4" s="150">
        <v>40.0</v>
      </c>
      <c r="B4" s="150">
        <v>25.0</v>
      </c>
      <c r="C4" s="151" t="str">
        <f>IF(AND(A4&gt;30, B4&gt;30),"Good", "Bad")</f>
        <v>Bad</v>
      </c>
      <c r="D4" s="152" t="s">
        <v>151</v>
      </c>
      <c r="E4" s="66"/>
    </row>
    <row r="5">
      <c r="A5" s="66"/>
      <c r="B5" s="66"/>
      <c r="C5" s="153"/>
      <c r="D5" s="66"/>
      <c r="E5" s="66"/>
    </row>
    <row r="6">
      <c r="A6" s="97" t="s">
        <v>180</v>
      </c>
      <c r="B6" s="66"/>
      <c r="C6" s="153"/>
      <c r="D6" s="66"/>
      <c r="E6" s="66"/>
    </row>
    <row r="7">
      <c r="A7" s="66"/>
      <c r="B7" s="66"/>
      <c r="C7" s="153"/>
      <c r="D7" s="66"/>
      <c r="E7" s="66"/>
    </row>
    <row r="8">
      <c r="A8" s="149" t="s">
        <v>178</v>
      </c>
      <c r="B8" s="149" t="s">
        <v>179</v>
      </c>
      <c r="C8" s="153"/>
      <c r="D8" s="66"/>
      <c r="E8" s="66"/>
    </row>
    <row r="9">
      <c r="A9" s="150">
        <v>40.0</v>
      </c>
      <c r="B9" s="150">
        <v>25.0</v>
      </c>
      <c r="C9" s="151" t="str">
        <f>IF(OR(A9&gt;30, B9&gt;30), "Good", "Bad")</f>
        <v>Good</v>
      </c>
      <c r="D9" s="152" t="s">
        <v>151</v>
      </c>
      <c r="E9" s="66"/>
    </row>
    <row r="10">
      <c r="A10" s="66"/>
      <c r="B10" s="66"/>
      <c r="C10" s="66"/>
      <c r="D10" s="66"/>
      <c r="E10" s="6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67" t="s">
        <v>181</v>
      </c>
      <c r="B3" s="66"/>
      <c r="C3" s="66"/>
      <c r="D3" s="66"/>
      <c r="E3" s="66"/>
    </row>
    <row r="4">
      <c r="A4" s="148"/>
      <c r="B4" s="66"/>
      <c r="C4" s="66"/>
      <c r="D4" s="66"/>
      <c r="E4" s="66"/>
    </row>
    <row r="5">
      <c r="A5" s="72" t="s">
        <v>182</v>
      </c>
      <c r="B5" s="154" t="s">
        <v>183</v>
      </c>
      <c r="C5" s="66"/>
      <c r="D5" s="66"/>
      <c r="E5" s="66"/>
    </row>
    <row r="6">
      <c r="A6" s="73" t="s">
        <v>184</v>
      </c>
      <c r="B6" s="155" t="b">
        <f t="shared" ref="B6:B7" si="1">ISBLANK(A6)</f>
        <v>0</v>
      </c>
      <c r="C6" s="67" t="s">
        <v>151</v>
      </c>
      <c r="D6" s="66"/>
      <c r="E6" s="66"/>
    </row>
    <row r="7">
      <c r="A7" s="156"/>
      <c r="B7" s="155" t="b">
        <f t="shared" si="1"/>
        <v>1</v>
      </c>
      <c r="C7" s="67" t="s">
        <v>151</v>
      </c>
      <c r="D7" s="66"/>
      <c r="E7" s="66"/>
    </row>
    <row r="8">
      <c r="A8" s="66"/>
      <c r="B8" s="66"/>
      <c r="C8" s="66"/>
      <c r="D8" s="66"/>
      <c r="E8" s="66"/>
    </row>
    <row r="9">
      <c r="A9" s="66"/>
      <c r="B9" s="66"/>
      <c r="C9" s="66"/>
      <c r="D9" s="66"/>
      <c r="E9" s="66"/>
    </row>
    <row r="10">
      <c r="A10" s="66"/>
      <c r="B10" s="66"/>
      <c r="C10" s="66"/>
      <c r="D10" s="66"/>
      <c r="E10" s="66"/>
    </row>
    <row r="11">
      <c r="A11" s="66"/>
      <c r="B11" s="66"/>
      <c r="C11" s="66"/>
      <c r="D11" s="66"/>
      <c r="E11" s="66"/>
    </row>
    <row r="12">
      <c r="A12" s="66"/>
      <c r="B12" s="66"/>
      <c r="C12" s="66"/>
      <c r="D12" s="66"/>
      <c r="E12" s="66"/>
    </row>
    <row r="13">
      <c r="A13" s="67" t="s">
        <v>185</v>
      </c>
      <c r="B13" s="66"/>
      <c r="C13" s="66"/>
      <c r="D13" s="66"/>
      <c r="E13" s="66"/>
    </row>
    <row r="14">
      <c r="A14" s="148"/>
      <c r="B14" s="66"/>
      <c r="C14" s="66"/>
      <c r="D14" s="66"/>
      <c r="E14" s="66"/>
    </row>
    <row r="15">
      <c r="A15" s="72" t="s">
        <v>182</v>
      </c>
      <c r="B15" s="154" t="s">
        <v>183</v>
      </c>
      <c r="C15" s="66"/>
      <c r="D15" s="66"/>
      <c r="E15" s="66"/>
    </row>
    <row r="16">
      <c r="A16" s="156"/>
      <c r="B16" s="155" t="str">
        <f t="shared" ref="B16:B17" si="2">IF(ISBLANK(A16), "No data", "Cell is ok")</f>
        <v>No data</v>
      </c>
      <c r="C16" s="67" t="s">
        <v>151</v>
      </c>
      <c r="D16" s="66"/>
      <c r="E16" s="66"/>
    </row>
    <row r="17">
      <c r="A17" s="73" t="s">
        <v>186</v>
      </c>
      <c r="B17" s="155" t="str">
        <f t="shared" si="2"/>
        <v>Cell is ok</v>
      </c>
      <c r="C17" s="67" t="s">
        <v>151</v>
      </c>
      <c r="D17" s="66"/>
      <c r="E17" s="66"/>
    </row>
    <row r="18">
      <c r="A18" s="66"/>
      <c r="B18" s="66"/>
      <c r="C18" s="66"/>
      <c r="D18" s="66"/>
      <c r="E18" s="66"/>
    </row>
    <row r="19">
      <c r="A19" s="66"/>
      <c r="B19" s="66"/>
      <c r="C19" s="66"/>
      <c r="D19" s="66"/>
      <c r="E19" s="6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7" t="s">
        <v>187</v>
      </c>
      <c r="B1" s="157" t="s">
        <v>40</v>
      </c>
      <c r="C1" s="157" t="s">
        <v>94</v>
      </c>
      <c r="D1" s="26"/>
      <c r="E1" s="27"/>
      <c r="G1" s="53"/>
      <c r="H1" s="158" t="s">
        <v>188</v>
      </c>
      <c r="I1" s="159"/>
      <c r="J1" s="159"/>
      <c r="K1" s="159"/>
      <c r="L1" s="160"/>
    </row>
    <row r="2">
      <c r="A2" s="81">
        <v>15335.0</v>
      </c>
      <c r="B2" s="77" t="s">
        <v>44</v>
      </c>
      <c r="C2" s="69">
        <v>40.0</v>
      </c>
      <c r="E2" s="29"/>
      <c r="G2" s="127"/>
      <c r="H2" s="66"/>
      <c r="I2" s="66"/>
      <c r="J2" s="66"/>
      <c r="K2" s="66"/>
      <c r="L2" s="161"/>
    </row>
    <row r="3">
      <c r="A3" s="81">
        <v>57564.0</v>
      </c>
      <c r="B3" s="77" t="s">
        <v>95</v>
      </c>
      <c r="C3" s="69">
        <v>50.0</v>
      </c>
      <c r="E3" s="29"/>
      <c r="G3" s="127"/>
      <c r="H3" s="67" t="s">
        <v>40</v>
      </c>
      <c r="I3" s="67" t="s">
        <v>189</v>
      </c>
      <c r="J3" s="66"/>
      <c r="K3" s="66"/>
      <c r="L3" s="161"/>
    </row>
    <row r="4">
      <c r="A4" s="81">
        <v>73546.0</v>
      </c>
      <c r="B4" s="77" t="s">
        <v>42</v>
      </c>
      <c r="C4" s="69">
        <v>61.0</v>
      </c>
      <c r="E4" s="29"/>
      <c r="G4" s="127"/>
      <c r="H4" s="77" t="s">
        <v>190</v>
      </c>
      <c r="I4" s="111" t="str">
        <f>VLOOKUP(H4, H10:J17, 3, 0)</f>
        <v>Netflix</v>
      </c>
      <c r="J4" s="66"/>
      <c r="K4" s="66"/>
      <c r="L4" s="161"/>
    </row>
    <row r="5">
      <c r="A5" s="81">
        <v>66475.0</v>
      </c>
      <c r="B5" s="77" t="s">
        <v>191</v>
      </c>
      <c r="C5" s="69">
        <v>23.0</v>
      </c>
      <c r="E5" s="29"/>
      <c r="G5" s="127"/>
      <c r="H5" s="77" t="s">
        <v>192</v>
      </c>
      <c r="I5" s="111"/>
      <c r="J5" s="66"/>
      <c r="K5" s="66"/>
      <c r="L5" s="161"/>
    </row>
    <row r="6">
      <c r="A6" s="81">
        <v>54746.0</v>
      </c>
      <c r="B6" s="77" t="s">
        <v>43</v>
      </c>
      <c r="C6" s="69">
        <v>30.0</v>
      </c>
      <c r="E6" s="29"/>
      <c r="G6" s="127"/>
      <c r="H6" s="66"/>
      <c r="I6" s="66"/>
      <c r="J6" s="66"/>
      <c r="K6" s="66"/>
      <c r="L6" s="161"/>
    </row>
    <row r="7">
      <c r="A7" s="124"/>
      <c r="B7" s="66"/>
      <c r="C7" s="66"/>
      <c r="E7" s="29"/>
      <c r="G7" s="127"/>
      <c r="H7" s="77" t="s">
        <v>193</v>
      </c>
      <c r="I7" s="66"/>
      <c r="J7" s="66"/>
      <c r="K7" s="66"/>
      <c r="L7" s="161"/>
    </row>
    <row r="8">
      <c r="A8" s="124"/>
      <c r="B8" s="66"/>
      <c r="C8" s="66"/>
      <c r="E8" s="29"/>
      <c r="G8" s="127"/>
      <c r="H8" s="66"/>
      <c r="I8" s="66"/>
      <c r="J8" s="66"/>
      <c r="K8" s="66"/>
      <c r="L8" s="161"/>
    </row>
    <row r="9">
      <c r="A9" s="125" t="s">
        <v>194</v>
      </c>
      <c r="B9" s="66"/>
      <c r="C9" s="66"/>
      <c r="E9" s="29"/>
      <c r="G9" s="127"/>
      <c r="H9" s="157" t="s">
        <v>40</v>
      </c>
      <c r="I9" s="157" t="s">
        <v>94</v>
      </c>
      <c r="J9" s="157" t="s">
        <v>195</v>
      </c>
      <c r="K9" s="66"/>
      <c r="L9" s="161"/>
    </row>
    <row r="10">
      <c r="A10" s="124"/>
      <c r="B10" s="66"/>
      <c r="C10" s="66"/>
      <c r="E10" s="29"/>
      <c r="G10" s="127"/>
      <c r="H10" s="162" t="s">
        <v>196</v>
      </c>
      <c r="I10" s="163">
        <v>35.0</v>
      </c>
      <c r="J10" s="162" t="s">
        <v>197</v>
      </c>
      <c r="K10" s="66"/>
      <c r="L10" s="161"/>
    </row>
    <row r="11">
      <c r="A11" s="125" t="s">
        <v>187</v>
      </c>
      <c r="B11" s="69">
        <v>15335.0</v>
      </c>
      <c r="C11" s="66"/>
      <c r="E11" s="29"/>
      <c r="G11" s="127"/>
      <c r="H11" s="77" t="s">
        <v>198</v>
      </c>
      <c r="I11" s="69">
        <v>25.0</v>
      </c>
      <c r="J11" s="77" t="s">
        <v>199</v>
      </c>
      <c r="K11" s="66"/>
      <c r="L11" s="161"/>
    </row>
    <row r="12">
      <c r="A12" s="125" t="s">
        <v>94</v>
      </c>
      <c r="B12" s="111">
        <f>VLOOKUP(B11, A2:E6, 3, False)</f>
        <v>40</v>
      </c>
      <c r="C12" s="66"/>
      <c r="D12" s="67" t="s">
        <v>200</v>
      </c>
      <c r="E12" s="29"/>
      <c r="G12" s="127"/>
      <c r="H12" s="164" t="s">
        <v>44</v>
      </c>
      <c r="I12" s="165">
        <v>48.0</v>
      </c>
      <c r="J12" s="164" t="s">
        <v>201</v>
      </c>
      <c r="K12" s="66"/>
      <c r="L12" s="161"/>
    </row>
    <row r="13">
      <c r="A13" s="127"/>
      <c r="E13" s="122"/>
      <c r="G13" s="127"/>
      <c r="H13" s="77" t="s">
        <v>202</v>
      </c>
      <c r="I13" s="69">
        <v>37.0</v>
      </c>
      <c r="J13" s="77" t="s">
        <v>203</v>
      </c>
      <c r="K13" s="66"/>
      <c r="L13" s="161"/>
    </row>
    <row r="14">
      <c r="A14" s="128"/>
      <c r="B14" s="131"/>
      <c r="C14" s="131"/>
      <c r="D14" s="131"/>
      <c r="E14" s="65"/>
      <c r="G14" s="127"/>
      <c r="H14" s="164" t="s">
        <v>190</v>
      </c>
      <c r="I14" s="165">
        <v>52.0</v>
      </c>
      <c r="J14" s="164" t="s">
        <v>204</v>
      </c>
      <c r="K14" s="66"/>
      <c r="L14" s="161"/>
    </row>
    <row r="15">
      <c r="G15" s="127"/>
      <c r="H15" s="77" t="s">
        <v>192</v>
      </c>
      <c r="I15" s="69">
        <v>32.0</v>
      </c>
      <c r="J15" s="77" t="s">
        <v>205</v>
      </c>
      <c r="K15" s="66"/>
      <c r="L15" s="161"/>
    </row>
    <row r="16">
      <c r="G16" s="127"/>
      <c r="H16" s="164" t="s">
        <v>206</v>
      </c>
      <c r="I16" s="165">
        <v>33.0</v>
      </c>
      <c r="J16" s="164" t="s">
        <v>207</v>
      </c>
      <c r="K16" s="66"/>
      <c r="L16" s="161"/>
    </row>
    <row r="17">
      <c r="G17" s="127"/>
      <c r="H17" s="129" t="s">
        <v>208</v>
      </c>
      <c r="I17" s="84">
        <v>45.0</v>
      </c>
      <c r="J17" s="129" t="s">
        <v>209</v>
      </c>
      <c r="K17" s="66"/>
      <c r="L17" s="161"/>
    </row>
    <row r="18">
      <c r="G18" s="128"/>
      <c r="H18" s="131"/>
      <c r="I18" s="131"/>
      <c r="J18" s="131"/>
      <c r="K18" s="131"/>
      <c r="L18" s="65"/>
    </row>
  </sheetData>
  <mergeCells count="12">
    <mergeCell ref="C8:E8"/>
    <mergeCell ref="C9:E9"/>
    <mergeCell ref="C10:E10"/>
    <mergeCell ref="C11:E11"/>
    <mergeCell ref="D12:E12"/>
    <mergeCell ref="C1:E1"/>
    <mergeCell ref="C2:E2"/>
    <mergeCell ref="C3:E3"/>
    <mergeCell ref="C4:E4"/>
    <mergeCell ref="C5:E5"/>
    <mergeCell ref="C6:E6"/>
    <mergeCell ref="C7:E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1.0"/>
  </cols>
  <sheetData>
    <row r="2">
      <c r="B2" s="166" t="s">
        <v>210</v>
      </c>
      <c r="C2" s="26"/>
      <c r="D2" s="26"/>
      <c r="E2" s="26"/>
      <c r="F2" s="26"/>
      <c r="G2" s="26"/>
      <c r="H2" s="27"/>
      <c r="L2" s="166" t="s">
        <v>211</v>
      </c>
      <c r="M2" s="26"/>
      <c r="N2" s="26"/>
      <c r="O2" s="26"/>
      <c r="P2" s="26"/>
      <c r="Q2" s="26"/>
      <c r="R2" s="26"/>
      <c r="S2" s="27"/>
    </row>
    <row r="3">
      <c r="B3" s="35"/>
      <c r="C3" s="36"/>
      <c r="D3" s="36"/>
      <c r="E3" s="36"/>
      <c r="F3" s="36"/>
      <c r="G3" s="36"/>
      <c r="H3" s="37"/>
      <c r="L3" s="28"/>
      <c r="S3" s="29"/>
    </row>
    <row r="4">
      <c r="L4" s="35"/>
      <c r="M4" s="36"/>
      <c r="N4" s="36"/>
      <c r="O4" s="36"/>
      <c r="P4" s="36"/>
      <c r="Q4" s="36"/>
      <c r="R4" s="36"/>
      <c r="S4" s="37"/>
    </row>
    <row r="5">
      <c r="D5" s="167" t="s">
        <v>212</v>
      </c>
      <c r="E5" s="168"/>
      <c r="F5" s="168"/>
    </row>
    <row r="6">
      <c r="D6" s="169" t="s">
        <v>94</v>
      </c>
      <c r="E6" s="169" t="s">
        <v>40</v>
      </c>
      <c r="F6" s="168"/>
      <c r="M6" s="67" t="s">
        <v>213</v>
      </c>
      <c r="N6" s="66"/>
      <c r="O6" s="66"/>
      <c r="P6" s="66"/>
      <c r="Q6" s="66"/>
    </row>
    <row r="7">
      <c r="D7" s="170">
        <v>12.0</v>
      </c>
      <c r="E7" s="171" t="s">
        <v>97</v>
      </c>
      <c r="F7" s="168"/>
      <c r="M7" s="66"/>
      <c r="N7" s="66"/>
      <c r="O7" s="66"/>
      <c r="P7" s="66"/>
      <c r="Q7" s="66"/>
    </row>
    <row r="8">
      <c r="D8" s="170">
        <v>13.0</v>
      </c>
      <c r="E8" s="171" t="s">
        <v>214</v>
      </c>
      <c r="F8" s="168"/>
      <c r="M8" s="172" t="s">
        <v>215</v>
      </c>
      <c r="N8" s="172" t="s">
        <v>158</v>
      </c>
      <c r="O8" s="172" t="s">
        <v>216</v>
      </c>
      <c r="P8" s="172" t="s">
        <v>217</v>
      </c>
      <c r="Q8" s="172" t="s">
        <v>218</v>
      </c>
    </row>
    <row r="9">
      <c r="D9" s="170">
        <v>14.0</v>
      </c>
      <c r="E9" s="171" t="s">
        <v>135</v>
      </c>
      <c r="F9" s="168"/>
      <c r="M9" s="73" t="s">
        <v>219</v>
      </c>
      <c r="N9" s="73" t="s">
        <v>220</v>
      </c>
      <c r="O9" s="74">
        <v>3343453.0</v>
      </c>
      <c r="P9" s="73" t="s">
        <v>221</v>
      </c>
      <c r="Q9" s="74">
        <v>2013.0</v>
      </c>
    </row>
    <row r="10">
      <c r="D10" s="170">
        <v>12.0</v>
      </c>
      <c r="E10" s="171" t="s">
        <v>222</v>
      </c>
      <c r="F10" s="168"/>
      <c r="M10" s="73" t="s">
        <v>223</v>
      </c>
      <c r="N10" s="73" t="s">
        <v>224</v>
      </c>
      <c r="O10" s="74">
        <v>5535334.0</v>
      </c>
      <c r="P10" s="73" t="s">
        <v>130</v>
      </c>
      <c r="Q10" s="74">
        <v>2015.0</v>
      </c>
    </row>
    <row r="11">
      <c r="D11" s="170">
        <v>16.0</v>
      </c>
      <c r="E11" s="171" t="s">
        <v>100</v>
      </c>
      <c r="F11" s="168"/>
      <c r="M11" s="73" t="s">
        <v>225</v>
      </c>
      <c r="N11" s="73" t="s">
        <v>226</v>
      </c>
      <c r="O11" s="74">
        <v>6474574.0</v>
      </c>
      <c r="P11" s="73" t="s">
        <v>221</v>
      </c>
      <c r="Q11" s="74">
        <v>2012.0</v>
      </c>
    </row>
    <row r="12">
      <c r="D12" s="170">
        <v>15.0</v>
      </c>
      <c r="E12" s="171" t="s">
        <v>227</v>
      </c>
      <c r="F12" s="168"/>
      <c r="M12" s="73" t="s">
        <v>228</v>
      </c>
      <c r="N12" s="73" t="s">
        <v>229</v>
      </c>
      <c r="O12" s="74">
        <v>5544667.0</v>
      </c>
      <c r="P12" s="73" t="s">
        <v>133</v>
      </c>
      <c r="Q12" s="74">
        <v>2014.0</v>
      </c>
    </row>
    <row r="13">
      <c r="D13" s="168"/>
      <c r="E13" s="168"/>
      <c r="F13" s="168"/>
      <c r="M13" s="73" t="s">
        <v>230</v>
      </c>
      <c r="N13" s="73" t="s">
        <v>231</v>
      </c>
      <c r="O13" s="74">
        <v>4356434.0</v>
      </c>
      <c r="P13" s="73" t="s">
        <v>232</v>
      </c>
      <c r="Q13" s="74">
        <v>2015.0</v>
      </c>
    </row>
    <row r="14">
      <c r="D14" s="173" t="s">
        <v>233</v>
      </c>
      <c r="E14" s="167" t="s">
        <v>100</v>
      </c>
      <c r="F14" s="168"/>
      <c r="G14" s="174"/>
      <c r="M14" s="66"/>
      <c r="N14" s="66"/>
      <c r="O14" s="66"/>
      <c r="P14" s="66"/>
      <c r="Q14" s="66"/>
    </row>
    <row r="15">
      <c r="D15" s="173" t="s">
        <v>94</v>
      </c>
      <c r="E15" s="175">
        <f t="array" ref="E15">XLOOKUP(E14, E7:E12, D7:D12)</f>
        <v>16</v>
      </c>
      <c r="F15" s="168"/>
      <c r="G15" s="167" t="s">
        <v>234</v>
      </c>
      <c r="M15" s="77" t="s">
        <v>235</v>
      </c>
      <c r="N15" s="176">
        <v>3343453.0</v>
      </c>
      <c r="O15" s="66"/>
      <c r="P15" s="66"/>
      <c r="Q15" s="66"/>
    </row>
    <row r="16">
      <c r="D16" s="168"/>
      <c r="E16" s="168"/>
      <c r="F16" s="168"/>
      <c r="M16" s="172" t="s">
        <v>215</v>
      </c>
      <c r="N16" s="172" t="s">
        <v>158</v>
      </c>
      <c r="O16" s="172" t="s">
        <v>216</v>
      </c>
      <c r="P16" s="172" t="s">
        <v>217</v>
      </c>
      <c r="Q16" s="172" t="s">
        <v>218</v>
      </c>
    </row>
    <row r="17">
      <c r="D17" s="168"/>
      <c r="E17" s="168"/>
      <c r="F17" s="168"/>
      <c r="M17" s="75" t="str">
        <f t="array" ref="M17:Q17">XLOOKUP(N15, O9:O13, M9:Q13)</f>
        <v>Toyota</v>
      </c>
      <c r="N17" s="156" t="s">
        <v>220</v>
      </c>
      <c r="O17" s="156">
        <v>3343453.0</v>
      </c>
      <c r="P17" s="156" t="s">
        <v>221</v>
      </c>
      <c r="Q17" s="156">
        <v>2013.0</v>
      </c>
    </row>
    <row r="18">
      <c r="M18" s="67" t="s">
        <v>236</v>
      </c>
      <c r="N18" s="66"/>
      <c r="O18" s="66"/>
      <c r="P18" s="66"/>
      <c r="Q18" s="66"/>
    </row>
    <row r="21">
      <c r="B21" s="177" t="s">
        <v>237</v>
      </c>
      <c r="C21" s="26"/>
      <c r="D21" s="26"/>
      <c r="E21" s="26"/>
      <c r="F21" s="26"/>
      <c r="G21" s="26"/>
      <c r="H21" s="27"/>
      <c r="L21" s="177" t="s">
        <v>238</v>
      </c>
      <c r="M21" s="26"/>
      <c r="N21" s="26"/>
      <c r="O21" s="26"/>
      <c r="P21" s="26"/>
      <c r="Q21" s="26"/>
      <c r="R21" s="26"/>
      <c r="S21" s="27"/>
    </row>
    <row r="22">
      <c r="B22" s="35"/>
      <c r="C22" s="36"/>
      <c r="D22" s="36"/>
      <c r="E22" s="36"/>
      <c r="F22" s="36"/>
      <c r="G22" s="36"/>
      <c r="H22" s="37"/>
      <c r="L22" s="28"/>
      <c r="S22" s="29"/>
    </row>
    <row r="23">
      <c r="L23" s="28"/>
      <c r="S23" s="29"/>
    </row>
    <row r="24">
      <c r="C24" s="167" t="s">
        <v>239</v>
      </c>
      <c r="D24" s="168"/>
      <c r="E24" s="168"/>
      <c r="F24" s="168"/>
      <c r="L24" s="35"/>
      <c r="M24" s="36"/>
      <c r="N24" s="36"/>
      <c r="O24" s="36"/>
      <c r="P24" s="36"/>
      <c r="Q24" s="36"/>
      <c r="R24" s="36"/>
      <c r="S24" s="37"/>
    </row>
    <row r="25">
      <c r="C25" s="173" t="s">
        <v>240</v>
      </c>
      <c r="D25" s="168"/>
      <c r="E25" s="168"/>
      <c r="F25" s="168"/>
    </row>
    <row r="26">
      <c r="C26" s="173" t="s">
        <v>241</v>
      </c>
      <c r="D26" s="168"/>
      <c r="E26" s="168"/>
      <c r="F26" s="168"/>
      <c r="L26" s="40"/>
      <c r="M26" s="173" t="s">
        <v>242</v>
      </c>
      <c r="N26" s="168"/>
      <c r="O26" s="168"/>
      <c r="P26" s="168"/>
    </row>
    <row r="27">
      <c r="C27" s="168"/>
      <c r="D27" s="168"/>
      <c r="E27" s="168"/>
      <c r="F27" s="168"/>
      <c r="M27" s="173" t="s">
        <v>243</v>
      </c>
      <c r="N27" s="168"/>
      <c r="O27" s="168"/>
      <c r="P27" s="168"/>
    </row>
    <row r="28">
      <c r="C28" s="178" t="s">
        <v>40</v>
      </c>
      <c r="D28" s="178" t="s">
        <v>244</v>
      </c>
      <c r="E28" s="178" t="s">
        <v>245</v>
      </c>
      <c r="F28" s="168"/>
      <c r="M28" s="168"/>
      <c r="N28" s="168"/>
      <c r="O28" s="168"/>
      <c r="P28" s="168"/>
    </row>
    <row r="29">
      <c r="C29" s="171" t="s">
        <v>101</v>
      </c>
      <c r="D29" s="171" t="s">
        <v>137</v>
      </c>
      <c r="E29" s="171" t="s">
        <v>232</v>
      </c>
      <c r="F29" s="168"/>
      <c r="M29" s="178" t="s">
        <v>40</v>
      </c>
      <c r="N29" s="178" t="s">
        <v>246</v>
      </c>
      <c r="O29" s="168"/>
      <c r="P29" s="168"/>
    </row>
    <row r="30">
      <c r="C30" s="171" t="s">
        <v>135</v>
      </c>
      <c r="D30" s="171" t="s">
        <v>247</v>
      </c>
      <c r="E30" s="171" t="s">
        <v>248</v>
      </c>
      <c r="F30" s="168"/>
      <c r="M30" s="171" t="s">
        <v>101</v>
      </c>
      <c r="N30" s="171" t="s">
        <v>249</v>
      </c>
      <c r="O30" s="168"/>
      <c r="P30" s="168"/>
    </row>
    <row r="31">
      <c r="C31" s="171" t="s">
        <v>250</v>
      </c>
      <c r="D31" s="171" t="s">
        <v>251</v>
      </c>
      <c r="E31" s="171" t="s">
        <v>221</v>
      </c>
      <c r="F31" s="168"/>
      <c r="M31" s="171" t="s">
        <v>135</v>
      </c>
      <c r="N31" s="171" t="s">
        <v>252</v>
      </c>
      <c r="O31" s="168"/>
      <c r="P31" s="168"/>
    </row>
    <row r="32">
      <c r="C32" s="171" t="s">
        <v>101</v>
      </c>
      <c r="D32" s="171" t="s">
        <v>253</v>
      </c>
      <c r="E32" s="171" t="s">
        <v>133</v>
      </c>
      <c r="F32" s="168"/>
      <c r="M32" s="171" t="s">
        <v>250</v>
      </c>
      <c r="N32" s="171" t="s">
        <v>254</v>
      </c>
      <c r="O32" s="168"/>
      <c r="P32" s="168"/>
    </row>
    <row r="33">
      <c r="C33" s="171" t="s">
        <v>255</v>
      </c>
      <c r="D33" s="171" t="s">
        <v>256</v>
      </c>
      <c r="E33" s="171" t="s">
        <v>130</v>
      </c>
      <c r="F33" s="168"/>
      <c r="M33" s="171" t="s">
        <v>101</v>
      </c>
      <c r="N33" s="171" t="s">
        <v>257</v>
      </c>
      <c r="O33" s="168"/>
      <c r="P33" s="168"/>
    </row>
    <row r="34">
      <c r="C34" s="171" t="s">
        <v>258</v>
      </c>
      <c r="D34" s="171" t="s">
        <v>259</v>
      </c>
      <c r="E34" s="171" t="s">
        <v>248</v>
      </c>
      <c r="F34" s="168"/>
      <c r="M34" s="171" t="s">
        <v>255</v>
      </c>
      <c r="N34" s="171" t="s">
        <v>260</v>
      </c>
      <c r="O34" s="168"/>
      <c r="P34" s="168"/>
    </row>
    <row r="35">
      <c r="C35" s="171" t="s">
        <v>97</v>
      </c>
      <c r="D35" s="171" t="s">
        <v>261</v>
      </c>
      <c r="E35" s="171" t="s">
        <v>221</v>
      </c>
      <c r="F35" s="168"/>
      <c r="M35" s="168"/>
      <c r="N35" s="168"/>
      <c r="O35" s="168"/>
      <c r="P35" s="168"/>
    </row>
    <row r="36">
      <c r="C36" s="168"/>
      <c r="D36" s="168"/>
      <c r="E36" s="168"/>
      <c r="F36" s="168"/>
      <c r="M36" s="173" t="s">
        <v>233</v>
      </c>
      <c r="N36" s="173" t="s">
        <v>262</v>
      </c>
      <c r="O36" s="168"/>
      <c r="P36" s="168"/>
    </row>
    <row r="37">
      <c r="C37" s="173" t="s">
        <v>233</v>
      </c>
      <c r="D37" s="173" t="s">
        <v>101</v>
      </c>
      <c r="E37" s="168"/>
      <c r="F37" s="168"/>
      <c r="M37" s="173" t="s">
        <v>263</v>
      </c>
      <c r="N37" s="179" t="str">
        <f t="array" ref="N37">XLOOKUP(N36, M30:M34, N30:N34, "Not Found")</f>
        <v>Not Found</v>
      </c>
      <c r="O37" s="167" t="s">
        <v>234</v>
      </c>
      <c r="P37" s="168"/>
    </row>
    <row r="38">
      <c r="C38" s="173" t="s">
        <v>264</v>
      </c>
      <c r="D38" s="175" t="str">
        <f t="array" ref="D38">XLOOKUP(D37, C29:C35, E29:E35, -1)</f>
        <v>Blue</v>
      </c>
      <c r="E38" s="167" t="s">
        <v>234</v>
      </c>
      <c r="F38" s="168"/>
    </row>
    <row r="39">
      <c r="C39" s="168"/>
      <c r="D39" s="168"/>
      <c r="E39" s="168"/>
      <c r="F39" s="168"/>
    </row>
    <row r="42">
      <c r="C42" s="173" t="s">
        <v>265</v>
      </c>
      <c r="D42" s="168"/>
      <c r="E42" s="168"/>
    </row>
    <row r="43">
      <c r="C43" s="173" t="s">
        <v>266</v>
      </c>
      <c r="D43" s="168"/>
      <c r="E43" s="168"/>
    </row>
    <row r="44">
      <c r="C44" s="168"/>
      <c r="D44" s="168"/>
      <c r="E44" s="168"/>
    </row>
    <row r="45">
      <c r="C45" s="167" t="s">
        <v>267</v>
      </c>
      <c r="D45" s="168"/>
      <c r="E45" s="168"/>
    </row>
    <row r="46">
      <c r="C46" s="180" t="s">
        <v>133</v>
      </c>
      <c r="D46" s="181" t="s">
        <v>268</v>
      </c>
      <c r="E46" s="168"/>
    </row>
    <row r="47">
      <c r="C47" s="173" t="s">
        <v>269</v>
      </c>
      <c r="D47" s="168"/>
      <c r="E47" s="168"/>
    </row>
    <row r="48">
      <c r="C48" s="168"/>
      <c r="D48" s="168"/>
      <c r="E48" s="168"/>
    </row>
    <row r="49">
      <c r="C49" s="167" t="s">
        <v>270</v>
      </c>
      <c r="D49" s="182" t="s">
        <v>271</v>
      </c>
      <c r="E49" s="168"/>
    </row>
    <row r="50">
      <c r="C50" s="180" t="s">
        <v>133</v>
      </c>
      <c r="D50" s="183" t="str">
        <f t="array" ref="D50">XLOOKUP(B14,A6:A12,C6:C12,"not found",,-1)</f>
        <v>not found</v>
      </c>
      <c r="E50" s="168"/>
    </row>
    <row r="51">
      <c r="C51" s="173" t="s">
        <v>272</v>
      </c>
      <c r="D51" s="168"/>
      <c r="E51" s="168"/>
    </row>
    <row r="52">
      <c r="C52" s="168"/>
      <c r="D52" s="168"/>
      <c r="E52" s="168"/>
    </row>
    <row r="53">
      <c r="C53" s="167" t="s">
        <v>273</v>
      </c>
      <c r="D53" s="168"/>
      <c r="E53" s="168"/>
    </row>
    <row r="54">
      <c r="C54" s="180" t="s">
        <v>133</v>
      </c>
      <c r="D54" s="181" t="s">
        <v>274</v>
      </c>
      <c r="E54" s="168"/>
    </row>
    <row r="55">
      <c r="C55" s="173" t="s">
        <v>275</v>
      </c>
      <c r="D55" s="168"/>
      <c r="E55" s="168"/>
    </row>
  </sheetData>
  <mergeCells count="15">
    <mergeCell ref="F10:G10"/>
    <mergeCell ref="F11:G11"/>
    <mergeCell ref="F12:G12"/>
    <mergeCell ref="F13:G13"/>
    <mergeCell ref="F16:G16"/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7" t="s">
        <v>276</v>
      </c>
      <c r="B1" s="66"/>
      <c r="C1" s="66"/>
      <c r="D1" s="66"/>
      <c r="E1" s="66"/>
    </row>
    <row r="2">
      <c r="A2" s="73" t="s">
        <v>277</v>
      </c>
      <c r="B2" s="66"/>
      <c r="C2" s="66"/>
      <c r="D2" s="66"/>
      <c r="E2" s="66"/>
    </row>
    <row r="3">
      <c r="A3" s="73" t="s">
        <v>278</v>
      </c>
      <c r="B3" s="66"/>
      <c r="C3" s="66"/>
      <c r="D3" s="66"/>
      <c r="E3" s="66"/>
    </row>
    <row r="4">
      <c r="A4" s="73" t="s">
        <v>279</v>
      </c>
      <c r="B4" s="66"/>
      <c r="C4" s="66"/>
      <c r="D4" s="66"/>
      <c r="E4" s="66"/>
      <c r="G4" s="67" t="s">
        <v>280</v>
      </c>
      <c r="H4" s="66"/>
      <c r="I4" s="66"/>
      <c r="J4" s="66"/>
      <c r="K4" s="66"/>
      <c r="L4" s="66"/>
    </row>
    <row r="5">
      <c r="A5" s="73" t="s">
        <v>281</v>
      </c>
      <c r="B5" s="66"/>
      <c r="C5" s="66"/>
      <c r="D5" s="66"/>
      <c r="E5" s="66"/>
      <c r="G5" s="72" t="s">
        <v>187</v>
      </c>
      <c r="H5" s="72" t="s">
        <v>40</v>
      </c>
      <c r="I5" s="66"/>
      <c r="J5" s="66"/>
      <c r="K5" s="66"/>
      <c r="L5" s="66"/>
    </row>
    <row r="6">
      <c r="A6" s="73" t="s">
        <v>282</v>
      </c>
      <c r="B6" s="66"/>
      <c r="C6" s="66"/>
      <c r="D6" s="66"/>
      <c r="E6" s="66"/>
      <c r="G6" s="74">
        <v>9584423.0</v>
      </c>
      <c r="H6" s="73" t="s">
        <v>44</v>
      </c>
      <c r="I6" s="66"/>
      <c r="J6" s="66"/>
      <c r="K6" s="66"/>
      <c r="L6" s="66"/>
    </row>
    <row r="7">
      <c r="A7" s="73" t="s">
        <v>209</v>
      </c>
      <c r="B7" s="66"/>
      <c r="C7" s="66"/>
      <c r="D7" s="66"/>
      <c r="E7" s="66"/>
      <c r="G7" s="74">
        <v>5034521.0</v>
      </c>
      <c r="H7" s="73" t="s">
        <v>283</v>
      </c>
      <c r="I7" s="66"/>
      <c r="J7" s="66"/>
      <c r="K7" s="66"/>
      <c r="L7" s="66"/>
    </row>
    <row r="8">
      <c r="A8" s="66"/>
      <c r="B8" s="66"/>
      <c r="C8" s="66"/>
      <c r="D8" s="66"/>
      <c r="E8" s="66"/>
      <c r="G8" s="74">
        <v>9543669.0</v>
      </c>
      <c r="H8" s="73" t="s">
        <v>284</v>
      </c>
      <c r="I8" s="66"/>
      <c r="J8" s="66"/>
      <c r="K8" s="66"/>
      <c r="L8" s="66"/>
    </row>
    <row r="9">
      <c r="A9" s="66"/>
      <c r="B9" s="66"/>
      <c r="C9" s="66"/>
      <c r="D9" s="66"/>
      <c r="E9" s="66"/>
      <c r="G9" s="74">
        <v>9995553.0</v>
      </c>
      <c r="H9" s="73" t="s">
        <v>285</v>
      </c>
      <c r="I9" s="66"/>
      <c r="J9" s="66"/>
      <c r="K9" s="66"/>
      <c r="L9" s="66"/>
    </row>
    <row r="10">
      <c r="A10" s="77" t="s">
        <v>118</v>
      </c>
      <c r="B10" s="111" t="str">
        <f t="array" ref="B10">INDEX(A2:A7, 4, 1)</f>
        <v>Dell</v>
      </c>
      <c r="C10" s="67" t="s">
        <v>234</v>
      </c>
      <c r="D10" s="66"/>
      <c r="E10" s="66"/>
      <c r="G10" s="74">
        <v>8595323.0</v>
      </c>
      <c r="H10" s="73" t="s">
        <v>43</v>
      </c>
      <c r="I10" s="66"/>
      <c r="J10" s="66"/>
      <c r="K10" s="66"/>
      <c r="L10" s="66"/>
    </row>
    <row r="11">
      <c r="G11" s="74">
        <v>9359305.0</v>
      </c>
      <c r="H11" s="73" t="s">
        <v>286</v>
      </c>
      <c r="I11" s="66"/>
      <c r="J11" s="66"/>
      <c r="K11" s="66"/>
      <c r="L11" s="66"/>
    </row>
    <row r="12">
      <c r="G12" s="66"/>
      <c r="H12" s="66"/>
      <c r="I12" s="66"/>
      <c r="J12" s="66"/>
      <c r="K12" s="66"/>
      <c r="L12" s="66"/>
    </row>
    <row r="13">
      <c r="G13" s="77" t="s">
        <v>233</v>
      </c>
      <c r="H13" s="67" t="s">
        <v>285</v>
      </c>
      <c r="I13" s="66"/>
      <c r="J13" s="66"/>
      <c r="K13" s="66"/>
      <c r="L13" s="66"/>
    </row>
    <row r="14">
      <c r="A14" s="67" t="s">
        <v>287</v>
      </c>
      <c r="B14" s="148"/>
      <c r="C14" s="148"/>
      <c r="D14" s="148"/>
      <c r="E14" s="148"/>
      <c r="F14" s="66"/>
      <c r="G14" s="77" t="s">
        <v>118</v>
      </c>
      <c r="H14" s="111">
        <f t="array" ref="H14">INDEX(G6:G11, MATCH(H13, H6:H11))</f>
        <v>9995553</v>
      </c>
      <c r="I14" s="67" t="s">
        <v>234</v>
      </c>
      <c r="J14" s="66"/>
      <c r="K14" s="66"/>
      <c r="L14" s="66"/>
    </row>
    <row r="15">
      <c r="A15" s="66"/>
      <c r="B15" s="67" t="s">
        <v>288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>
      <c r="A16" s="66"/>
      <c r="B16" s="73" t="s">
        <v>289</v>
      </c>
      <c r="C16" s="66"/>
      <c r="D16" s="66"/>
      <c r="E16" s="66"/>
      <c r="F16" s="66"/>
    </row>
    <row r="17">
      <c r="A17" s="66"/>
      <c r="B17" s="73" t="s">
        <v>290</v>
      </c>
      <c r="C17" s="66"/>
      <c r="D17" s="66"/>
      <c r="E17" s="66"/>
      <c r="F17" s="66"/>
    </row>
    <row r="18">
      <c r="A18" s="66"/>
      <c r="B18" s="73" t="s">
        <v>291</v>
      </c>
      <c r="C18" s="66"/>
      <c r="D18" s="66"/>
      <c r="E18" s="66"/>
      <c r="F18" s="66"/>
    </row>
    <row r="19">
      <c r="A19" s="66"/>
      <c r="B19" s="73" t="s">
        <v>292</v>
      </c>
      <c r="C19" s="66"/>
      <c r="D19" s="66"/>
      <c r="E19" s="66"/>
      <c r="F19" s="66"/>
    </row>
    <row r="20">
      <c r="A20" s="66"/>
      <c r="B20" s="73" t="s">
        <v>293</v>
      </c>
      <c r="C20" s="66"/>
      <c r="D20" s="66"/>
      <c r="E20" s="66"/>
      <c r="F20" s="66"/>
    </row>
    <row r="21">
      <c r="A21" s="66"/>
      <c r="B21" s="73" t="s">
        <v>294</v>
      </c>
      <c r="C21" s="66"/>
      <c r="D21" s="66"/>
      <c r="E21" s="66"/>
      <c r="F21" s="66"/>
    </row>
    <row r="22">
      <c r="A22" s="66"/>
      <c r="B22" s="73" t="s">
        <v>295</v>
      </c>
      <c r="C22" s="66"/>
      <c r="D22" s="66"/>
      <c r="E22" s="66"/>
      <c r="F22" s="66"/>
    </row>
    <row r="23">
      <c r="A23" s="66"/>
      <c r="B23" s="66"/>
      <c r="C23" s="66"/>
      <c r="D23" s="66"/>
      <c r="E23" s="66"/>
      <c r="F23" s="66"/>
    </row>
    <row r="24">
      <c r="A24" s="77" t="s">
        <v>118</v>
      </c>
      <c r="B24" s="111">
        <f>MATCH(B21, B16:B22, 0)</f>
        <v>6</v>
      </c>
      <c r="C24" s="67" t="s">
        <v>176</v>
      </c>
      <c r="D24" s="66"/>
      <c r="E24" s="66"/>
      <c r="F24" s="66"/>
    </row>
    <row r="25">
      <c r="A25" s="66"/>
      <c r="B25" s="66"/>
      <c r="C25" s="66"/>
      <c r="D25" s="66"/>
      <c r="E25" s="66"/>
      <c r="F25" s="6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</cols>
  <sheetData>
    <row r="1">
      <c r="A1" s="67" t="s">
        <v>296</v>
      </c>
      <c r="B1" s="66"/>
      <c r="C1" s="66"/>
    </row>
    <row r="2">
      <c r="A2" s="66"/>
      <c r="B2" s="66"/>
      <c r="C2" s="66"/>
    </row>
    <row r="3">
      <c r="A3" s="184" t="s">
        <v>297</v>
      </c>
      <c r="B3" s="111" t="str">
        <f>LEFT(A3, 4)</f>
        <v>Lady</v>
      </c>
      <c r="C3" s="67" t="s">
        <v>48</v>
      </c>
    </row>
    <row r="4">
      <c r="A4" s="66"/>
      <c r="B4" s="66"/>
      <c r="C4" s="66"/>
    </row>
    <row r="5">
      <c r="A5" s="67" t="s">
        <v>298</v>
      </c>
      <c r="B5" s="66"/>
      <c r="C5" s="66"/>
    </row>
    <row r="6">
      <c r="A6" s="66"/>
      <c r="B6" s="66"/>
      <c r="C6" s="66"/>
    </row>
    <row r="7">
      <c r="A7" s="184" t="s">
        <v>299</v>
      </c>
      <c r="B7" s="111" t="str">
        <f>RIGHT(A7, 8)</f>
        <v>Zeppelin</v>
      </c>
      <c r="C7" s="67" t="s">
        <v>48</v>
      </c>
    </row>
    <row r="8">
      <c r="A8" s="66"/>
      <c r="B8" s="66"/>
      <c r="C8" s="66"/>
    </row>
    <row r="9">
      <c r="A9" s="67" t="s">
        <v>300</v>
      </c>
      <c r="B9" s="66"/>
      <c r="C9" s="66"/>
    </row>
    <row r="10">
      <c r="A10" s="66"/>
      <c r="B10" s="66"/>
      <c r="C10" s="66"/>
    </row>
    <row r="11">
      <c r="A11" s="77" t="s">
        <v>301</v>
      </c>
      <c r="B11" s="66"/>
      <c r="C11" s="66"/>
    </row>
    <row r="12">
      <c r="A12" s="66"/>
      <c r="B12" s="66"/>
      <c r="C12" s="66"/>
    </row>
    <row r="13">
      <c r="A13" s="111" t="str">
        <f>MID(A11:L11, 103, 26)</f>
        <v>I am absolutely amazing!!!</v>
      </c>
      <c r="B13" s="66"/>
      <c r="C13" s="66"/>
    </row>
    <row r="14">
      <c r="A14" s="67" t="s">
        <v>302</v>
      </c>
      <c r="B14" s="66"/>
      <c r="C14" s="6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14"/>
    <col customWidth="1" min="4" max="4" width="24.29"/>
    <col customWidth="1" min="5" max="5" width="28.14"/>
    <col customWidth="1" min="6" max="6" width="26.43"/>
    <col customWidth="1" min="7" max="7" width="29.57"/>
  </cols>
  <sheetData>
    <row r="3">
      <c r="C3" s="185" t="s">
        <v>303</v>
      </c>
      <c r="D3" s="26"/>
      <c r="E3" s="26"/>
      <c r="F3" s="26"/>
      <c r="G3" s="26"/>
      <c r="H3" s="27"/>
    </row>
    <row r="4">
      <c r="C4" s="35"/>
      <c r="D4" s="36"/>
      <c r="E4" s="36"/>
      <c r="F4" s="36"/>
      <c r="G4" s="36"/>
      <c r="H4" s="37"/>
    </row>
    <row r="5">
      <c r="C5" s="66"/>
      <c r="D5" s="66"/>
      <c r="E5" s="66"/>
      <c r="F5" s="66"/>
      <c r="G5" s="66"/>
    </row>
    <row r="6">
      <c r="B6" s="99"/>
      <c r="C6" s="186" t="s">
        <v>304</v>
      </c>
      <c r="D6" s="98"/>
      <c r="E6" s="98"/>
      <c r="F6" s="98"/>
      <c r="G6" s="98"/>
      <c r="H6" s="99"/>
      <c r="I6" s="99"/>
      <c r="J6" s="99"/>
    </row>
    <row r="7">
      <c r="C7" s="66"/>
      <c r="D7" s="66"/>
      <c r="E7" s="66"/>
      <c r="F7" s="66"/>
      <c r="G7" s="66"/>
    </row>
    <row r="8">
      <c r="C8" s="187" t="s">
        <v>305</v>
      </c>
      <c r="D8" s="187" t="s">
        <v>306</v>
      </c>
      <c r="E8" s="187" t="s">
        <v>307</v>
      </c>
      <c r="F8" s="72" t="s">
        <v>308</v>
      </c>
      <c r="G8" s="72" t="s">
        <v>309</v>
      </c>
    </row>
    <row r="9">
      <c r="C9" s="188" t="s">
        <v>310</v>
      </c>
      <c r="D9" s="188" t="s">
        <v>97</v>
      </c>
      <c r="E9" s="188" t="s">
        <v>311</v>
      </c>
      <c r="F9" s="75" t="str">
        <f t="shared" ref="F9:F11" si="1">CONCATENATE(D9,E9)</f>
        <v>JohnSmith</v>
      </c>
      <c r="G9" s="75" t="str">
        <f t="shared" ref="G9:G11" si="2">CONCATENATE(D9,"-",E9)</f>
        <v>John-Smith</v>
      </c>
    </row>
    <row r="10">
      <c r="C10" s="188" t="s">
        <v>312</v>
      </c>
      <c r="D10" s="188" t="s">
        <v>313</v>
      </c>
      <c r="E10" s="188" t="s">
        <v>314</v>
      </c>
      <c r="F10" s="75" t="str">
        <f t="shared" si="1"/>
        <v>JaneDoe</v>
      </c>
      <c r="G10" s="75" t="str">
        <f t="shared" si="2"/>
        <v>Jane-Doe</v>
      </c>
    </row>
    <row r="11">
      <c r="C11" s="188" t="s">
        <v>315</v>
      </c>
      <c r="D11" s="188" t="s">
        <v>283</v>
      </c>
      <c r="E11" s="188" t="s">
        <v>316</v>
      </c>
      <c r="F11" s="75" t="str">
        <f t="shared" si="1"/>
        <v>BobJohnson</v>
      </c>
      <c r="G11" s="75" t="str">
        <f t="shared" si="2"/>
        <v>Bob-Johnson</v>
      </c>
    </row>
    <row r="15">
      <c r="C15" s="185" t="s">
        <v>317</v>
      </c>
      <c r="D15" s="26"/>
      <c r="E15" s="27"/>
      <c r="G15" s="185" t="s">
        <v>318</v>
      </c>
      <c r="H15" s="26"/>
      <c r="I15" s="26"/>
      <c r="J15" s="26"/>
      <c r="K15" s="27"/>
    </row>
    <row r="16">
      <c r="C16" s="28"/>
      <c r="E16" s="29"/>
      <c r="G16" s="28"/>
      <c r="K16" s="29"/>
    </row>
    <row r="17">
      <c r="C17" s="35"/>
      <c r="D17" s="36"/>
      <c r="E17" s="37"/>
      <c r="G17" s="35"/>
      <c r="H17" s="36"/>
      <c r="I17" s="36"/>
      <c r="J17" s="36"/>
      <c r="K17" s="37"/>
    </row>
    <row r="18">
      <c r="C18" s="189"/>
      <c r="D18" s="190"/>
      <c r="E18" s="190"/>
      <c r="F18" s="66"/>
      <c r="G18" s="66"/>
      <c r="H18" s="97"/>
      <c r="I18" s="98"/>
      <c r="J18" s="99"/>
    </row>
    <row r="19">
      <c r="C19" s="189" t="s">
        <v>319</v>
      </c>
      <c r="D19" s="190"/>
      <c r="E19" s="190"/>
      <c r="F19" s="66"/>
      <c r="G19" s="66"/>
      <c r="H19" s="66"/>
      <c r="I19" s="66"/>
    </row>
    <row r="20">
      <c r="C20" s="148"/>
      <c r="D20" s="66"/>
      <c r="E20" s="66"/>
      <c r="F20" s="66"/>
      <c r="G20" s="66"/>
      <c r="H20" s="72" t="s">
        <v>320</v>
      </c>
      <c r="I20" s="66"/>
    </row>
    <row r="21">
      <c r="C21" s="66"/>
      <c r="D21" s="72" t="s">
        <v>320</v>
      </c>
      <c r="E21" s="66"/>
      <c r="F21" s="66"/>
      <c r="G21" s="66"/>
      <c r="H21" s="73" t="s">
        <v>321</v>
      </c>
      <c r="I21" s="66"/>
    </row>
    <row r="22">
      <c r="C22" s="66"/>
      <c r="D22" s="73" t="s">
        <v>322</v>
      </c>
      <c r="E22" s="66"/>
      <c r="F22" s="66"/>
      <c r="G22" s="66"/>
      <c r="H22" s="156"/>
      <c r="I22" s="66"/>
    </row>
    <row r="23">
      <c r="C23" s="66"/>
      <c r="D23" s="73" t="s">
        <v>323</v>
      </c>
      <c r="E23" s="66"/>
      <c r="F23" s="66"/>
      <c r="G23" s="66"/>
      <c r="H23" s="73" t="s">
        <v>324</v>
      </c>
      <c r="I23" s="66"/>
    </row>
    <row r="24">
      <c r="C24" s="66"/>
      <c r="D24" s="73" t="s">
        <v>289</v>
      </c>
      <c r="E24" s="66"/>
      <c r="F24" s="66"/>
      <c r="G24" s="66"/>
      <c r="H24" s="156"/>
      <c r="I24" s="66"/>
    </row>
    <row r="25">
      <c r="C25" s="66"/>
      <c r="D25" s="73" t="s">
        <v>325</v>
      </c>
      <c r="E25" s="66"/>
      <c r="F25" s="66"/>
      <c r="G25" s="66"/>
      <c r="H25" s="73" t="s">
        <v>326</v>
      </c>
      <c r="I25" s="66"/>
    </row>
    <row r="26">
      <c r="C26" s="66"/>
      <c r="D26" s="73" t="s">
        <v>327</v>
      </c>
      <c r="E26" s="66"/>
      <c r="F26" s="66"/>
      <c r="G26" s="66"/>
      <c r="H26" s="73" t="s">
        <v>328</v>
      </c>
      <c r="I26" s="66"/>
    </row>
    <row r="27">
      <c r="C27" s="66"/>
      <c r="D27" s="66"/>
      <c r="E27" s="66"/>
      <c r="F27" s="66"/>
      <c r="G27" s="66"/>
      <c r="H27" s="66"/>
      <c r="I27" s="66"/>
    </row>
    <row r="28">
      <c r="C28" s="77" t="s">
        <v>329</v>
      </c>
      <c r="D28" s="111" t="str">
        <f>TEXTJOIN(" ",TRUE, D22:D26)</f>
        <v>Mary had A Little Lamb</v>
      </c>
      <c r="E28" s="67" t="s">
        <v>234</v>
      </c>
      <c r="F28" s="66"/>
      <c r="G28" s="66"/>
      <c r="H28" s="111" t="str">
        <f>CONCAT(H21,H23,H25,H26)</f>
        <v>#N/A</v>
      </c>
      <c r="I28" s="67" t="s">
        <v>330</v>
      </c>
    </row>
  </sheetData>
  <mergeCells count="3">
    <mergeCell ref="C3:H4"/>
    <mergeCell ref="C15:E17"/>
    <mergeCell ref="G15:K1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0"/>
    <col customWidth="1" min="4" max="4" width="21.71"/>
    <col customWidth="1" min="7" max="7" width="27.86"/>
    <col customWidth="1" min="10" max="10" width="30.14"/>
  </cols>
  <sheetData>
    <row r="1">
      <c r="A1" s="191" t="s">
        <v>331</v>
      </c>
      <c r="E1" s="66"/>
    </row>
    <row r="2">
      <c r="A2" s="66"/>
      <c r="B2" s="192" t="s">
        <v>40</v>
      </c>
      <c r="C2" s="193" t="s">
        <v>332</v>
      </c>
      <c r="D2" s="66"/>
      <c r="E2" s="66"/>
    </row>
    <row r="3">
      <c r="A3" s="66"/>
      <c r="B3" s="194" t="s">
        <v>333</v>
      </c>
      <c r="C3" s="195">
        <v>3.0</v>
      </c>
      <c r="D3" s="66"/>
      <c r="E3" s="148"/>
    </row>
    <row r="4">
      <c r="A4" s="66"/>
      <c r="B4" s="194" t="s">
        <v>334</v>
      </c>
      <c r="C4" s="195">
        <v>5.0</v>
      </c>
      <c r="D4" s="66"/>
      <c r="E4" s="148"/>
    </row>
    <row r="5">
      <c r="A5" s="66"/>
      <c r="B5" s="194" t="s">
        <v>335</v>
      </c>
      <c r="C5" s="195">
        <v>2.0</v>
      </c>
      <c r="D5" s="66"/>
      <c r="E5" s="66"/>
    </row>
    <row r="6">
      <c r="A6" s="66"/>
      <c r="B6" s="194" t="s">
        <v>285</v>
      </c>
      <c r="C6" s="195">
        <v>4.0</v>
      </c>
      <c r="D6" s="66"/>
      <c r="E6" s="66"/>
    </row>
    <row r="7">
      <c r="A7" s="66"/>
      <c r="B7" s="194" t="s">
        <v>336</v>
      </c>
      <c r="C7" s="195">
        <v>1.0</v>
      </c>
      <c r="D7" s="66"/>
      <c r="E7" s="66"/>
    </row>
    <row r="8">
      <c r="A8" s="66"/>
      <c r="B8" s="66"/>
      <c r="C8" s="66"/>
      <c r="D8" s="66"/>
      <c r="E8" s="66"/>
    </row>
    <row r="9">
      <c r="A9" s="66"/>
      <c r="B9" s="66"/>
      <c r="C9" s="66"/>
      <c r="D9" s="66"/>
      <c r="E9" s="66"/>
    </row>
    <row r="10">
      <c r="A10" s="66"/>
      <c r="B10" s="76" t="s">
        <v>40</v>
      </c>
      <c r="C10" s="76" t="s">
        <v>332</v>
      </c>
      <c r="D10" s="66"/>
      <c r="E10" s="66"/>
    </row>
    <row r="11">
      <c r="A11" s="196" t="s">
        <v>337</v>
      </c>
      <c r="B11" s="75" t="str">
        <f t="array" ref="B11:C15">SORT(B3:C7, 2, 1)</f>
        <v>Nemo</v>
      </c>
      <c r="C11" s="156">
        <v>1.0</v>
      </c>
      <c r="D11" s="197" t="s">
        <v>338</v>
      </c>
      <c r="E11" s="66"/>
    </row>
    <row r="12">
      <c r="B12" s="156" t="s">
        <v>335</v>
      </c>
      <c r="C12" s="156">
        <v>2.0</v>
      </c>
      <c r="D12" s="66"/>
      <c r="E12" s="66"/>
    </row>
    <row r="13">
      <c r="B13" s="156" t="s">
        <v>333</v>
      </c>
      <c r="C13" s="156">
        <v>3.0</v>
      </c>
      <c r="D13" s="66"/>
      <c r="E13" s="66"/>
    </row>
    <row r="14">
      <c r="B14" s="156" t="s">
        <v>285</v>
      </c>
      <c r="C14" s="156">
        <v>4.0</v>
      </c>
      <c r="D14" s="66"/>
      <c r="E14" s="66"/>
    </row>
    <row r="15">
      <c r="B15" s="156" t="s">
        <v>334</v>
      </c>
      <c r="C15" s="156">
        <v>5.0</v>
      </c>
      <c r="D15" s="66"/>
      <c r="E15" s="66"/>
    </row>
    <row r="20">
      <c r="A20" s="198" t="s">
        <v>339</v>
      </c>
      <c r="B20" s="199"/>
      <c r="C20" s="199"/>
      <c r="D20" s="199"/>
      <c r="E20" s="200"/>
    </row>
    <row r="21">
      <c r="A21" s="196" t="s">
        <v>340</v>
      </c>
      <c r="F21" s="66"/>
      <c r="G21" s="66"/>
      <c r="H21" s="66"/>
      <c r="J21" s="66"/>
    </row>
    <row r="22">
      <c r="A22" s="66"/>
      <c r="B22" s="192" t="s">
        <v>40</v>
      </c>
      <c r="C22" s="193" t="s">
        <v>341</v>
      </c>
      <c r="D22" s="201" t="s">
        <v>342</v>
      </c>
      <c r="E22" s="202" t="s">
        <v>343</v>
      </c>
      <c r="F22" s="66"/>
      <c r="G22" s="66"/>
      <c r="H22" s="66"/>
      <c r="J22" s="66"/>
    </row>
    <row r="23">
      <c r="A23" s="66"/>
      <c r="B23" s="194" t="s">
        <v>344</v>
      </c>
      <c r="C23" s="195">
        <v>4.99</v>
      </c>
      <c r="D23" s="203">
        <v>4.02</v>
      </c>
      <c r="E23" s="204">
        <v>9.01</v>
      </c>
      <c r="F23" s="66"/>
      <c r="G23" s="66"/>
      <c r="H23" s="66"/>
      <c r="J23" s="66"/>
    </row>
    <row r="24">
      <c r="A24" s="66"/>
      <c r="B24" s="194" t="s">
        <v>345</v>
      </c>
      <c r="C24" s="195">
        <v>5.01</v>
      </c>
      <c r="D24" s="203">
        <v>5.92</v>
      </c>
      <c r="E24" s="204">
        <v>10.93</v>
      </c>
      <c r="F24" s="66"/>
      <c r="G24" s="66"/>
      <c r="H24" s="66"/>
      <c r="J24" s="66"/>
    </row>
    <row r="25">
      <c r="A25" s="66"/>
      <c r="B25" s="194" t="s">
        <v>346</v>
      </c>
      <c r="C25" s="195">
        <v>3.99</v>
      </c>
      <c r="D25" s="203">
        <v>6.2</v>
      </c>
      <c r="E25" s="204">
        <v>10.19</v>
      </c>
      <c r="F25" s="66"/>
      <c r="G25" s="66"/>
      <c r="H25" s="66"/>
      <c r="J25" s="66"/>
    </row>
    <row r="26">
      <c r="A26" s="66"/>
      <c r="B26" s="194" t="s">
        <v>347</v>
      </c>
      <c r="C26" s="195">
        <v>1.23</v>
      </c>
      <c r="D26" s="203">
        <v>2.11</v>
      </c>
      <c r="E26" s="204">
        <v>3.34</v>
      </c>
      <c r="F26" s="66"/>
      <c r="G26" s="66"/>
      <c r="H26" s="66"/>
      <c r="J26" s="66"/>
    </row>
    <row r="27">
      <c r="A27" s="66"/>
      <c r="B27" s="66"/>
      <c r="D27" s="66"/>
      <c r="E27" s="66"/>
      <c r="F27" s="66"/>
      <c r="G27" s="66"/>
      <c r="H27" s="66"/>
      <c r="J27" s="66"/>
    </row>
    <row r="28">
      <c r="A28" s="66"/>
      <c r="B28" s="205" t="s">
        <v>348</v>
      </c>
      <c r="C28" s="26"/>
      <c r="D28" s="66"/>
      <c r="E28" s="206" t="s">
        <v>349</v>
      </c>
      <c r="F28" s="26"/>
      <c r="G28" s="66"/>
      <c r="H28" s="207" t="s">
        <v>343</v>
      </c>
      <c r="I28" s="26"/>
      <c r="J28" s="66"/>
    </row>
    <row r="29">
      <c r="A29" s="66"/>
      <c r="B29" s="73" t="s">
        <v>332</v>
      </c>
      <c r="C29" s="208" t="s">
        <v>40</v>
      </c>
      <c r="D29" s="66"/>
      <c r="E29" s="73" t="s">
        <v>332</v>
      </c>
      <c r="F29" s="208" t="s">
        <v>40</v>
      </c>
      <c r="G29" s="66"/>
      <c r="H29" s="73" t="s">
        <v>332</v>
      </c>
      <c r="I29" s="208" t="s">
        <v>40</v>
      </c>
      <c r="J29" s="66"/>
    </row>
    <row r="30">
      <c r="A30" s="196" t="s">
        <v>350</v>
      </c>
      <c r="B30" s="74">
        <v>1.0</v>
      </c>
      <c r="C30" s="75"/>
      <c r="D30" s="209" t="s">
        <v>351</v>
      </c>
      <c r="E30" s="74">
        <v>1.0</v>
      </c>
      <c r="F30" s="75"/>
      <c r="G30" s="209" t="s">
        <v>351</v>
      </c>
      <c r="H30" s="74">
        <v>1.0</v>
      </c>
      <c r="I30" s="75"/>
      <c r="J30" s="209" t="s">
        <v>351</v>
      </c>
    </row>
    <row r="31">
      <c r="B31" s="74">
        <v>2.0</v>
      </c>
      <c r="C31" s="156"/>
      <c r="D31" s="66"/>
      <c r="E31" s="74">
        <v>2.0</v>
      </c>
      <c r="F31" s="156"/>
      <c r="G31" s="66"/>
      <c r="H31" s="74">
        <v>2.0</v>
      </c>
      <c r="I31" s="156"/>
      <c r="J31" s="66"/>
    </row>
    <row r="32">
      <c r="B32" s="74">
        <v>3.0</v>
      </c>
      <c r="C32" s="156"/>
      <c r="D32" s="66"/>
      <c r="E32" s="74">
        <v>3.0</v>
      </c>
      <c r="F32" s="156"/>
      <c r="G32" s="66"/>
      <c r="H32" s="74">
        <v>3.0</v>
      </c>
      <c r="I32" s="156"/>
      <c r="J32" s="66"/>
    </row>
    <row r="33">
      <c r="B33" s="74">
        <v>4.0</v>
      </c>
      <c r="C33" s="156"/>
      <c r="D33" s="66"/>
      <c r="E33" s="74">
        <v>4.0</v>
      </c>
      <c r="F33" s="156"/>
      <c r="G33" s="66"/>
      <c r="H33" s="74">
        <v>4.0</v>
      </c>
      <c r="I33" s="156"/>
      <c r="J33" s="66"/>
    </row>
    <row r="36">
      <c r="A36" s="210" t="s">
        <v>352</v>
      </c>
      <c r="B36" s="26"/>
      <c r="C36" s="26"/>
      <c r="D36" s="26"/>
      <c r="E36" s="26"/>
      <c r="F36" s="26"/>
      <c r="G36" s="26"/>
      <c r="H36" s="26"/>
      <c r="I36" s="26"/>
      <c r="J36" s="27"/>
    </row>
    <row r="37">
      <c r="A37" s="35"/>
      <c r="B37" s="36"/>
      <c r="C37" s="36"/>
      <c r="D37" s="36"/>
      <c r="E37" s="36"/>
      <c r="F37" s="36"/>
      <c r="G37" s="36"/>
      <c r="H37" s="36"/>
      <c r="I37" s="36"/>
      <c r="J37" s="37"/>
    </row>
    <row r="39">
      <c r="B39" s="67" t="s">
        <v>353</v>
      </c>
      <c r="C39" s="66"/>
      <c r="D39" s="66"/>
      <c r="E39" s="66"/>
      <c r="F39" s="66"/>
    </row>
    <row r="40">
      <c r="B40" s="77" t="s">
        <v>354</v>
      </c>
      <c r="C40" s="66"/>
      <c r="D40" s="66"/>
      <c r="E40" s="66"/>
      <c r="F40" s="66"/>
    </row>
    <row r="41">
      <c r="B41" s="77" t="s">
        <v>355</v>
      </c>
      <c r="C41" s="66"/>
      <c r="D41" s="66"/>
      <c r="E41" s="66"/>
      <c r="F41" s="66"/>
    </row>
    <row r="42">
      <c r="B42" s="66"/>
      <c r="C42" s="66"/>
      <c r="D42" s="66"/>
      <c r="E42" s="66"/>
      <c r="F42" s="66"/>
    </row>
    <row r="43">
      <c r="B43" s="66"/>
      <c r="C43" s="67" t="s">
        <v>356</v>
      </c>
      <c r="D43" s="67" t="s">
        <v>357</v>
      </c>
      <c r="E43" s="67" t="s">
        <v>40</v>
      </c>
      <c r="F43" s="67" t="s">
        <v>358</v>
      </c>
    </row>
    <row r="44">
      <c r="B44" s="66"/>
      <c r="C44" s="77" t="s">
        <v>289</v>
      </c>
      <c r="D44" s="77" t="s">
        <v>359</v>
      </c>
      <c r="E44" s="77" t="s">
        <v>97</v>
      </c>
      <c r="F44" s="69">
        <v>100.0</v>
      </c>
    </row>
    <row r="45">
      <c r="B45" s="66"/>
      <c r="C45" s="77" t="s">
        <v>360</v>
      </c>
      <c r="D45" s="77" t="s">
        <v>361</v>
      </c>
      <c r="E45" s="77" t="s">
        <v>362</v>
      </c>
      <c r="F45" s="69">
        <v>98.0</v>
      </c>
    </row>
    <row r="46">
      <c r="B46" s="66"/>
      <c r="C46" s="77" t="s">
        <v>363</v>
      </c>
      <c r="D46" s="77" t="s">
        <v>364</v>
      </c>
      <c r="E46" s="77" t="s">
        <v>227</v>
      </c>
      <c r="F46" s="69">
        <v>100.0</v>
      </c>
    </row>
    <row r="47">
      <c r="B47" s="66"/>
      <c r="C47" s="77" t="s">
        <v>291</v>
      </c>
      <c r="D47" s="77" t="s">
        <v>365</v>
      </c>
      <c r="E47" s="77" t="s">
        <v>135</v>
      </c>
      <c r="F47" s="69">
        <v>92.0</v>
      </c>
    </row>
    <row r="48">
      <c r="B48" s="66"/>
      <c r="C48" s="77" t="s">
        <v>289</v>
      </c>
      <c r="D48" s="77" t="s">
        <v>361</v>
      </c>
      <c r="E48" s="77" t="s">
        <v>169</v>
      </c>
      <c r="F48" s="69">
        <v>91.0</v>
      </c>
    </row>
    <row r="49">
      <c r="B49" s="66"/>
      <c r="C49" s="77" t="s">
        <v>291</v>
      </c>
      <c r="D49" s="77" t="s">
        <v>364</v>
      </c>
      <c r="E49" s="77" t="s">
        <v>99</v>
      </c>
      <c r="F49" s="69">
        <v>93.0</v>
      </c>
    </row>
    <row r="50">
      <c r="B50" s="66"/>
      <c r="C50" s="77" t="s">
        <v>360</v>
      </c>
      <c r="D50" s="77" t="s">
        <v>359</v>
      </c>
      <c r="E50" s="77" t="s">
        <v>366</v>
      </c>
      <c r="F50" s="69">
        <v>94.0</v>
      </c>
    </row>
    <row r="51">
      <c r="B51" s="66"/>
      <c r="C51" s="77" t="s">
        <v>289</v>
      </c>
      <c r="D51" s="77" t="s">
        <v>367</v>
      </c>
      <c r="E51" s="77" t="s">
        <v>368</v>
      </c>
      <c r="F51" s="69">
        <v>100.0</v>
      </c>
    </row>
    <row r="52">
      <c r="B52" s="66"/>
      <c r="C52" s="77" t="s">
        <v>291</v>
      </c>
      <c r="D52" s="77" t="s">
        <v>369</v>
      </c>
      <c r="E52" s="77" t="s">
        <v>370</v>
      </c>
      <c r="F52" s="69">
        <v>98.0</v>
      </c>
    </row>
    <row r="53">
      <c r="B53" s="66"/>
      <c r="C53" s="66"/>
      <c r="D53" s="66"/>
      <c r="E53" s="66"/>
      <c r="F53" s="66"/>
    </row>
    <row r="54">
      <c r="B54" s="66"/>
      <c r="C54" s="67" t="s">
        <v>356</v>
      </c>
      <c r="D54" s="67" t="s">
        <v>357</v>
      </c>
      <c r="E54" s="67" t="s">
        <v>40</v>
      </c>
      <c r="F54" s="67" t="s">
        <v>358</v>
      </c>
    </row>
    <row r="55">
      <c r="B55" s="67" t="s">
        <v>371</v>
      </c>
      <c r="C55" s="111"/>
      <c r="D55" s="66"/>
      <c r="E55" s="66"/>
      <c r="F55" s="66"/>
    </row>
    <row r="56">
      <c r="B56" s="66"/>
      <c r="C56" s="66"/>
      <c r="D56" s="66"/>
      <c r="E56" s="66"/>
      <c r="F56" s="66"/>
    </row>
    <row r="57">
      <c r="B57" s="66"/>
      <c r="C57" s="66"/>
      <c r="D57" s="66"/>
      <c r="E57" s="66"/>
      <c r="F57" s="66"/>
    </row>
  </sheetData>
  <mergeCells count="17">
    <mergeCell ref="A1:D1"/>
    <mergeCell ref="A11:A15"/>
    <mergeCell ref="A20:E20"/>
    <mergeCell ref="A21:E21"/>
    <mergeCell ref="H21:I21"/>
    <mergeCell ref="H22:I22"/>
    <mergeCell ref="H23:I23"/>
    <mergeCell ref="B28:C28"/>
    <mergeCell ref="A30:A33"/>
    <mergeCell ref="A36:J37"/>
    <mergeCell ref="H24:I24"/>
    <mergeCell ref="H25:I25"/>
    <mergeCell ref="H26:I26"/>
    <mergeCell ref="B27:C27"/>
    <mergeCell ref="H27:I27"/>
    <mergeCell ref="E28:F28"/>
    <mergeCell ref="H28:I2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29.0"/>
    <col customWidth="1" min="3" max="3" width="32.86"/>
    <col customWidth="1" min="4" max="4" width="39.43"/>
  </cols>
  <sheetData>
    <row r="1">
      <c r="A1" s="211" t="s">
        <v>372</v>
      </c>
      <c r="E1" s="66"/>
      <c r="F1" s="66"/>
    </row>
    <row r="2">
      <c r="A2" s="66"/>
      <c r="B2" s="192" t="s">
        <v>195</v>
      </c>
      <c r="C2" s="193" t="s">
        <v>373</v>
      </c>
      <c r="D2" s="193" t="s">
        <v>374</v>
      </c>
      <c r="E2" s="66"/>
      <c r="F2" s="66"/>
    </row>
    <row r="3">
      <c r="A3" s="66"/>
      <c r="B3" s="194" t="s">
        <v>199</v>
      </c>
      <c r="C3" s="194" t="s">
        <v>375</v>
      </c>
      <c r="D3" s="195">
        <v>931.78</v>
      </c>
      <c r="E3" s="66"/>
      <c r="F3" s="66"/>
    </row>
    <row r="4">
      <c r="A4" s="66"/>
      <c r="B4" s="194" t="s">
        <v>376</v>
      </c>
      <c r="C4" s="194" t="s">
        <v>377</v>
      </c>
      <c r="D4" s="195">
        <v>341.28</v>
      </c>
      <c r="E4" s="66"/>
      <c r="F4" s="66"/>
    </row>
    <row r="5">
      <c r="A5" s="66"/>
      <c r="B5" s="194" t="s">
        <v>281</v>
      </c>
      <c r="C5" s="194" t="s">
        <v>375</v>
      </c>
      <c r="D5" s="195">
        <v>36.02</v>
      </c>
      <c r="E5" s="66"/>
      <c r="F5" s="66"/>
    </row>
    <row r="6">
      <c r="A6" s="66"/>
      <c r="B6" s="194" t="s">
        <v>378</v>
      </c>
      <c r="C6" s="194" t="s">
        <v>377</v>
      </c>
      <c r="D6" s="195">
        <v>130.25</v>
      </c>
      <c r="E6" s="66"/>
      <c r="F6" s="66"/>
    </row>
    <row r="7">
      <c r="A7" s="66"/>
      <c r="B7" s="194" t="s">
        <v>379</v>
      </c>
      <c r="C7" s="194" t="s">
        <v>377</v>
      </c>
      <c r="D7" s="195">
        <v>5.01</v>
      </c>
      <c r="E7" s="66"/>
      <c r="F7" s="66"/>
    </row>
    <row r="8">
      <c r="A8" s="66"/>
      <c r="B8" s="194" t="s">
        <v>201</v>
      </c>
      <c r="C8" s="194" t="s">
        <v>375</v>
      </c>
      <c r="D8" s="212">
        <v>1200.0</v>
      </c>
      <c r="E8" s="66"/>
      <c r="F8" s="66"/>
    </row>
    <row r="9">
      <c r="A9" s="66"/>
      <c r="B9" s="66"/>
      <c r="C9" s="66"/>
      <c r="D9" s="66"/>
      <c r="E9" s="66"/>
      <c r="F9" s="66"/>
    </row>
    <row r="10">
      <c r="A10" s="66"/>
      <c r="B10" s="192" t="s">
        <v>195</v>
      </c>
      <c r="C10" s="193" t="s">
        <v>373</v>
      </c>
      <c r="D10" s="193" t="s">
        <v>380</v>
      </c>
      <c r="E10" s="66"/>
      <c r="F10" s="66"/>
    </row>
    <row r="11">
      <c r="A11" s="213" t="s">
        <v>337</v>
      </c>
      <c r="B11" s="75" t="str">
        <f>IFERROR(__xludf.DUMMYFUNCTION("FILTER(B3:D8, C3:C8 = ""Tech"")"),"Google")</f>
        <v>Google</v>
      </c>
      <c r="C11" s="156" t="str">
        <f>IFERROR(__xludf.DUMMYFUNCTION("""COMPUTED_VALUE"""),"Tech")</f>
        <v>Tech</v>
      </c>
      <c r="D11" s="156">
        <f>IFERROR(__xludf.DUMMYFUNCTION("""COMPUTED_VALUE"""),931.78)</f>
        <v>931.78</v>
      </c>
      <c r="E11" s="197" t="s">
        <v>338</v>
      </c>
      <c r="F11" s="66"/>
    </row>
    <row r="12">
      <c r="A12" s="29"/>
      <c r="B12" s="156" t="str">
        <f>IFERROR(__xludf.DUMMYFUNCTION("""COMPUTED_VALUE"""),"Dell")</f>
        <v>Dell</v>
      </c>
      <c r="C12" s="156" t="str">
        <f>IFERROR(__xludf.DUMMYFUNCTION("""COMPUTED_VALUE"""),"Tech")</f>
        <v>Tech</v>
      </c>
      <c r="D12" s="156">
        <f>IFERROR(__xludf.DUMMYFUNCTION("""COMPUTED_VALUE"""),36.02)</f>
        <v>36.02</v>
      </c>
      <c r="E12" s="66"/>
      <c r="F12" s="66"/>
    </row>
    <row r="13">
      <c r="A13" s="29"/>
      <c r="B13" s="156" t="str">
        <f>IFERROR(__xludf.DUMMYFUNCTION("""COMPUTED_VALUE"""),"Microsoft")</f>
        <v>Microsoft</v>
      </c>
      <c r="C13" s="156" t="str">
        <f>IFERROR(__xludf.DUMMYFUNCTION("""COMPUTED_VALUE"""),"Tech")</f>
        <v>Tech</v>
      </c>
      <c r="D13" s="214">
        <f>IFERROR(__xludf.DUMMYFUNCTION("""COMPUTED_VALUE"""),1200.0)</f>
        <v>1200</v>
      </c>
      <c r="E13" s="66"/>
      <c r="F13" s="66"/>
    </row>
    <row r="14">
      <c r="A14" s="215"/>
      <c r="B14" s="215"/>
      <c r="C14" s="215"/>
      <c r="D14" s="66"/>
      <c r="E14" s="66"/>
      <c r="F14" s="66"/>
    </row>
  </sheetData>
  <mergeCells count="2">
    <mergeCell ref="A1:D1"/>
    <mergeCell ref="A11:A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43"/>
    <col customWidth="1" min="9" max="9" width="31.71"/>
  </cols>
  <sheetData>
    <row r="1">
      <c r="A1" s="216" t="s">
        <v>381</v>
      </c>
      <c r="J1" s="66"/>
      <c r="K1" s="66"/>
      <c r="L1" s="66"/>
      <c r="M1" s="66"/>
      <c r="N1" s="66"/>
    </row>
    <row r="2">
      <c r="A2" s="216" t="s">
        <v>382</v>
      </c>
      <c r="J2" s="66"/>
      <c r="K2" s="66"/>
      <c r="L2" s="66"/>
      <c r="M2" s="66"/>
      <c r="N2" s="66"/>
    </row>
    <row r="3">
      <c r="A3" s="77" t="s">
        <v>383</v>
      </c>
      <c r="J3" s="66"/>
      <c r="K3" s="66"/>
      <c r="L3" s="66"/>
      <c r="M3" s="66"/>
      <c r="N3" s="66"/>
    </row>
    <row r="4">
      <c r="A4" s="66"/>
      <c r="J4" s="66"/>
      <c r="K4" s="66"/>
      <c r="L4" s="66"/>
      <c r="M4" s="66"/>
      <c r="N4" s="66"/>
    </row>
    <row r="5">
      <c r="A5" s="67" t="s">
        <v>384</v>
      </c>
      <c r="J5" s="66"/>
      <c r="K5" s="66"/>
      <c r="L5" s="66"/>
      <c r="M5" s="66"/>
      <c r="N5" s="66"/>
    </row>
    <row r="6">
      <c r="A6" s="111" t="str">
        <f t="array" ref="A6">RANDARRAY(5,5,1,20,TRUE)</f>
        <v>#N/A</v>
      </c>
      <c r="J6" s="66"/>
      <c r="K6" s="66"/>
      <c r="L6" s="66"/>
      <c r="M6" s="66"/>
      <c r="N6" s="66"/>
    </row>
    <row r="11">
      <c r="A11" s="77" t="s">
        <v>385</v>
      </c>
      <c r="B11" s="66"/>
      <c r="C11" s="66"/>
      <c r="D11" s="66"/>
      <c r="E11" s="66"/>
      <c r="F11" s="66"/>
      <c r="G11" s="66"/>
      <c r="H11" s="66"/>
      <c r="I11" s="66"/>
    </row>
    <row r="12">
      <c r="A12" s="77" t="s">
        <v>386</v>
      </c>
      <c r="B12" s="66"/>
      <c r="C12" s="66"/>
      <c r="D12" s="66"/>
      <c r="E12" s="66"/>
      <c r="F12" s="66"/>
      <c r="G12" s="66"/>
      <c r="H12" s="66"/>
      <c r="I12" s="66"/>
    </row>
    <row r="13">
      <c r="A13" s="66"/>
      <c r="B13" s="66"/>
      <c r="C13" s="66"/>
      <c r="D13" s="66"/>
      <c r="E13" s="66"/>
      <c r="F13" s="66"/>
      <c r="G13" s="66"/>
      <c r="H13" s="66"/>
      <c r="I13" s="66"/>
    </row>
    <row r="14">
      <c r="A14" s="67" t="s">
        <v>384</v>
      </c>
      <c r="B14" s="66"/>
      <c r="C14" s="66"/>
      <c r="D14" s="66"/>
      <c r="E14" s="66"/>
      <c r="F14" s="66"/>
      <c r="G14" s="66"/>
      <c r="H14" s="66"/>
      <c r="I14" s="66"/>
    </row>
    <row r="15">
      <c r="A15" s="111"/>
      <c r="B15" s="66"/>
      <c r="C15" s="66"/>
      <c r="D15" s="66"/>
      <c r="E15" s="66"/>
      <c r="F15" s="66"/>
      <c r="G15" s="66"/>
      <c r="H15" s="66"/>
      <c r="I15" s="66"/>
    </row>
    <row r="16">
      <c r="A16" s="66"/>
      <c r="B16" s="66"/>
      <c r="C16" s="66"/>
      <c r="D16" s="66"/>
      <c r="E16" s="66"/>
      <c r="F16" s="66"/>
      <c r="G16" s="66"/>
      <c r="H16" s="66"/>
      <c r="I16" s="66"/>
    </row>
    <row r="17">
      <c r="A17" s="66"/>
      <c r="B17" s="66"/>
      <c r="C17" s="66"/>
      <c r="D17" s="66"/>
      <c r="E17" s="66"/>
      <c r="F17" s="66"/>
      <c r="G17" s="66"/>
      <c r="H17" s="66"/>
      <c r="I17" s="66"/>
    </row>
  </sheetData>
  <drawing r:id="rId1"/>
</worksheet>
</file>