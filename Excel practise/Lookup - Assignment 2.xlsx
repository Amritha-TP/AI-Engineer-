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xr:revisionPtr revIDLastSave="0" documentId="8_{C0C3DD83-1FD3-47E7-9AD3-A0689AF0A42F}" xr6:coauthVersionLast="47" xr6:coauthVersionMax="47" xr10:uidLastSave="{00000000-0000-0000-0000-000000000000}"/>
  <bookViews>
    <workbookView xWindow="0" yWindow="0" windowWidth="16384" windowHeight="8192" tabRatio="500" firstSheet="2" activeTab="4" xr2:uid="{00000000-000D-0000-FFFF-FFFF00000000}"/>
  </bookViews>
  <sheets>
    <sheet name="Example 1" sheetId="1" r:id="rId1"/>
    <sheet name="Example 1 (Solution)" sheetId="2" state="hidden" r:id="rId2"/>
    <sheet name="Example 2" sheetId="3" r:id="rId3"/>
    <sheet name="Example 2 (Solution)" sheetId="4" state="hidden" r:id="rId4"/>
    <sheet name="Example 3" sheetId="5" r:id="rId5"/>
    <sheet name="Example 3 (Solution)" sheetId="6" state="hidden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H5" i="1" a="1"/>
  <c r="H5" i="1"/>
  <c r="H6" i="1" a="1"/>
  <c r="H6" i="1"/>
  <c r="H7" i="1" a="1"/>
  <c r="H7" i="1"/>
  <c r="H8" i="1" a="1"/>
  <c r="H8" i="1"/>
  <c r="H9" i="1" a="1"/>
  <c r="H9" i="1"/>
  <c r="H10" i="1" a="1"/>
  <c r="H10" i="1"/>
  <c r="H11" i="1" a="1"/>
  <c r="H11" i="1"/>
  <c r="H12" i="1" a="1"/>
  <c r="H12" i="1"/>
  <c r="H13" i="1" a="1"/>
  <c r="H13" i="1"/>
  <c r="H14" i="1" a="1"/>
  <c r="H14" i="1"/>
  <c r="H15" i="1" a="1"/>
  <c r="H15" i="1"/>
  <c r="H16" i="1" a="1"/>
  <c r="H16" i="1"/>
  <c r="H4" i="1" a="1"/>
  <c r="H4" i="1"/>
  <c r="I5" i="3"/>
  <c r="I6" i="3"/>
  <c r="I7" i="3"/>
  <c r="I8" i="3"/>
  <c r="I9" i="3"/>
  <c r="I10" i="3"/>
  <c r="I11" i="3"/>
  <c r="I12" i="3"/>
  <c r="I13" i="3"/>
  <c r="I14" i="3"/>
  <c r="I15" i="3"/>
  <c r="I16" i="3"/>
  <c r="I4" i="3"/>
  <c r="H6" i="3"/>
  <c r="H7" i="3"/>
  <c r="H8" i="3"/>
  <c r="H9" i="3"/>
  <c r="H10" i="3"/>
  <c r="H11" i="3"/>
  <c r="H12" i="3"/>
  <c r="H13" i="3"/>
  <c r="H14" i="3"/>
  <c r="H15" i="3"/>
  <c r="H16" i="3"/>
  <c r="H5" i="3"/>
  <c r="H4" i="3"/>
  <c r="F23" i="1" a="1"/>
  <c r="F23" i="1"/>
  <c r="G16" i="6"/>
  <c r="G15" i="6"/>
  <c r="G14" i="6"/>
  <c r="G13" i="6"/>
  <c r="G12" i="6"/>
  <c r="G11" i="6"/>
  <c r="G10" i="6"/>
  <c r="G9" i="6"/>
  <c r="G8" i="6"/>
  <c r="G7" i="6"/>
  <c r="G6" i="6"/>
  <c r="G5" i="6"/>
  <c r="G4" i="6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<sst xmlns="http://schemas.openxmlformats.org/spreadsheetml/2006/main" count="240" uniqueCount="65">
  <si>
    <t>Raw Data Extract</t>
  </si>
  <si>
    <t>Pay Report</t>
  </si>
  <si>
    <t>Employee ID</t>
  </si>
  <si>
    <t>Last Name</t>
  </si>
  <si>
    <t>First Name</t>
  </si>
  <si>
    <t>Pay</t>
  </si>
  <si>
    <t>Doe</t>
  </si>
  <si>
    <t>John</t>
  </si>
  <si>
    <t>Cline</t>
  </si>
  <si>
    <t>Andy</t>
  </si>
  <si>
    <t>Smith</t>
  </si>
  <si>
    <t>Pan</t>
  </si>
  <si>
    <t>Peter</t>
  </si>
  <si>
    <t>Favre</t>
  </si>
  <si>
    <t>Bret</t>
  </si>
  <si>
    <t>Elway</t>
  </si>
  <si>
    <t>Manning</t>
  </si>
  <si>
    <t>Eli</t>
  </si>
  <si>
    <t>Vick</t>
  </si>
  <si>
    <t>Micheal</t>
  </si>
  <si>
    <t>Woods</t>
  </si>
  <si>
    <t>Tiger</t>
  </si>
  <si>
    <t>Jordan</t>
  </si>
  <si>
    <t>Stark</t>
  </si>
  <si>
    <t>Tony</t>
  </si>
  <si>
    <t>Williams</t>
  </si>
  <si>
    <t>Prince</t>
  </si>
  <si>
    <t>Pitt</t>
  </si>
  <si>
    <t>Brad</t>
  </si>
  <si>
    <t>Find the First Name and last Name using Excel Functions</t>
  </si>
  <si>
    <t>EMPLOYEE ID</t>
  </si>
  <si>
    <t>FIRST NAME</t>
  </si>
  <si>
    <t>LAST NAME</t>
  </si>
  <si>
    <t>Raw Data Extract #1</t>
  </si>
  <si>
    <t>City</t>
  </si>
  <si>
    <t>Find the Last Name and City using Excel Functions</t>
  </si>
  <si>
    <t>Raw Data Extract #2</t>
  </si>
  <si>
    <t>State</t>
  </si>
  <si>
    <t>Columbus</t>
  </si>
  <si>
    <t>Ohio</t>
  </si>
  <si>
    <t>Chicago</t>
  </si>
  <si>
    <t>Illnois</t>
  </si>
  <si>
    <t>Tampa Bay</t>
  </si>
  <si>
    <t>Florida</t>
  </si>
  <si>
    <t>Austin</t>
  </si>
  <si>
    <t>Texas</t>
  </si>
  <si>
    <t>Pay Band Table</t>
  </si>
  <si>
    <t>Pay Min</t>
  </si>
  <si>
    <t>Pay Band</t>
  </si>
  <si>
    <t>Level A</t>
  </si>
  <si>
    <t>Level B</t>
  </si>
  <si>
    <t>Level C</t>
  </si>
  <si>
    <t>Level D</t>
  </si>
  <si>
    <t>Level E</t>
  </si>
  <si>
    <t>QUESTION</t>
  </si>
  <si>
    <t xml:space="preserve">Find the Pay Band using Excel Functions </t>
  </si>
  <si>
    <t>EXPLANATION</t>
  </si>
  <si>
    <t>{=XLOOKUP(F4,$A$4:$A$8,$B$4:$B$8,"NOT FOUND",-1)}</t>
  </si>
  <si>
    <t>XLOOKUP - LOOKS FOR SPECIFIC VALUE IN A RANGE (COLUMN OR ROW)OR ARRAY AND RETURNS THE VALUE IN A ROW OR COLUMN.</t>
  </si>
  <si>
    <t>F4 - THE LOOKUP CELL</t>
  </si>
  <si>
    <r>
      <rPr>
        <sz val="11"/>
        <color rgb="FF000000"/>
        <rFont val="Calibri"/>
      </rPr>
      <t xml:space="preserve">LOOK FOR THE VALUE IN F4 CELL IN THE RANGE </t>
    </r>
    <r>
      <rPr>
        <b/>
        <sz val="11"/>
        <color rgb="FF000000"/>
        <rFont val="Calibri"/>
      </rPr>
      <t xml:space="preserve">$A$4:$A$8. </t>
    </r>
  </si>
  <si>
    <t>REASON FOR USING ABSOLUTE REFERENCE IS BECAUSE I WANT TO APPLY THIS FORMULA TO THE CELLS BELOW. SO I'M LOCKING THE RANGE $A$4:$A$8.</t>
  </si>
  <si>
    <t xml:space="preserve">$B$4:$B$8 -&gt; locking this return range so it dosen't get changed </t>
  </si>
  <si>
    <t>"NOT FOUND" -&gt; RETURN IF YOU COULD NOT FIND A VALUE.</t>
  </si>
  <si>
    <t>-1 -&gt; FIND A SMALLER MATCH IF YOU COULD NOT FIND THE EXACT MATCH(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</si>
</sst>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_);&quot;($&quot;#,##0\);\$0_)"/>
    <numFmt numFmtId="165" formatCode="&quot;$&quot;#,##0.00"/>
  </numFmts>
  <fonts count="8">
    <font>
      <sz val="11"/>
      <color rgb="FF000000"/>
      <name val="Calibri"/>
      <family val="2"/>
      <charset val="1"/>
    </font>
    <font>
      <b/>
      <sz val="16"/>
      <color rgb="FF414042"/>
      <name val="Calibri"/>
      <family val="2"/>
      <charset val="1"/>
    </font>
    <font>
      <b/>
      <sz val="16"/>
      <color rgb="FFF1BD62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</font>
    <font>
      <b/>
      <sz val="11"/>
      <color rgb="FF000000"/>
      <name val="Calibri"/>
      <charset val="1"/>
    </font>
    <font>
      <sz val="11"/>
      <color rgb="FF000000"/>
      <name val="Calibri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414042"/>
        <bgColor rgb="FF333300"/>
      </patternFill>
    </fill>
    <fill>
      <patternFill patternType="solid">
        <fgColor rgb="FFF1BD62"/>
        <bgColor rgb="FFFFCC0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414042"/>
      </bottom>
      <diagonal/>
    </border>
    <border>
      <left/>
      <right/>
      <top/>
      <bottom style="medium">
        <color rgb="FFF1BD62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64" fontId="0" fillId="0" borderId="0" xfId="0" applyNumberFormat="1"/>
    <xf numFmtId="0" fontId="0" fillId="4" borderId="0" xfId="0" applyFill="1"/>
    <xf numFmtId="0" fontId="0" fillId="0" borderId="0" xfId="0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0" fontId="0" fillId="7" borderId="0" xfId="0" applyFill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7" fillId="0" borderId="0" xfId="0" applyFont="1" applyAlignment="1">
      <alignment wrapText="1"/>
    </xf>
    <xf numFmtId="0" fontId="0" fillId="0" borderId="0" xfId="0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1BD62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219240</xdr:colOff>
      <xdr:row>17</xdr:row>
      <xdr:rowOff>133200</xdr:rowOff>
    </xdr:from>
    <xdr:to>
      <xdr:col>10</xdr:col>
      <xdr:colOff>47520</xdr:colOff>
      <xdr:row>21</xdr:row>
      <xdr:rowOff>9000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764760" y="3295440"/>
          <a:ext cx="3076200" cy="68544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solidFill>
                <a:srgbClr val="7F7F7F"/>
              </a:solidFill>
              <a:latin typeface="Calibri"/>
            </a:rPr>
            <a:t>Use VLOOKUP formulas to bring in the last name and city of employees in the </a:t>
          </a:r>
          <a:r>
            <a:rPr lang="en-US" sz="1000" b="1" strike="noStrike" spc="-1">
              <a:solidFill>
                <a:srgbClr val="7F7F7F"/>
              </a:solidFill>
              <a:latin typeface="Calibri"/>
            </a:rPr>
            <a:t>Raw Data Extract</a:t>
          </a:r>
          <a:r>
            <a:rPr lang="en-US" sz="1000" b="0" strike="noStrike" spc="-1">
              <a:solidFill>
                <a:srgbClr val="7F7F7F"/>
              </a:solidFill>
              <a:latin typeface="Calibri"/>
            </a:rPr>
            <a:t> sections</a:t>
          </a:r>
          <a:endParaRPr lang="en-IN" sz="10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504720</xdr:colOff>
      <xdr:row>17</xdr:row>
      <xdr:rowOff>85680</xdr:rowOff>
    </xdr:from>
    <xdr:to>
      <xdr:col>9</xdr:col>
      <xdr:colOff>199440</xdr:colOff>
      <xdr:row>20</xdr:row>
      <xdr:rowOff>151920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538960" y="3247920"/>
          <a:ext cx="3385440" cy="60912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solidFill>
                <a:srgbClr val="7F7F7F"/>
              </a:solidFill>
              <a:latin typeface="Calibri"/>
            </a:rPr>
            <a:t>Use VLOOKUP's approximate match to bring in the pay band label for the Pay range</a:t>
          </a:r>
          <a:endParaRPr lang="en-IN" sz="10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I23"/>
  <sheetViews>
    <sheetView showGridLines="0" zoomScaleNormal="100" workbookViewId="0">
      <selection activeCell="I6" sqref="I6"/>
    </sheetView>
  </sheetViews>
  <sheetFormatPr defaultColWidth="8.5703125" defaultRowHeight="14.25"/>
  <cols>
    <col min="1" max="1" width="12.140625" customWidth="1"/>
    <col min="2" max="2" width="10.140625" customWidth="1"/>
    <col min="3" max="3" width="10.5703125" customWidth="1"/>
    <col min="5" max="5" width="36.5703125" bestFit="1" customWidth="1"/>
    <col min="6" max="6" width="13" customWidth="1"/>
    <col min="7" max="7" width="10.42578125" customWidth="1"/>
    <col min="8" max="9" width="14" customWidth="1"/>
  </cols>
  <sheetData>
    <row r="1" spans="1:9" ht="21">
      <c r="A1" s="14" t="s">
        <v>0</v>
      </c>
      <c r="B1" s="14"/>
      <c r="C1" s="14"/>
      <c r="F1" s="15" t="s">
        <v>1</v>
      </c>
      <c r="G1" s="15"/>
      <c r="H1" s="15"/>
      <c r="I1" s="15"/>
    </row>
    <row r="3" spans="1:9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4</v>
      </c>
      <c r="I3" s="6" t="s">
        <v>3</v>
      </c>
    </row>
    <row r="4" spans="1:9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 cm="1">
        <f t="array" ref="H4:I4">_xlfn.XLOOKUP(F4,$A$4:$A$16,$B$4:$C$16)</f>
        <v>Pitt</v>
      </c>
      <c r="I4" s="8" t="str">
        <v>Brad</v>
      </c>
    </row>
    <row r="5" spans="1:9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 cm="1">
        <f t="array" ref="H5:I5">_xlfn.XLOOKUP(F5,$A$4:$A$16,$B$4:$C$16)</f>
        <v>Williams</v>
      </c>
      <c r="I5" s="8" t="str">
        <v>Prince</v>
      </c>
    </row>
    <row r="6" spans="1:9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 cm="1">
        <f t="array" ref="H6:I6">_xlfn.XLOOKUP(F6,$A$4:$A$16,$B$4:$C$16)</f>
        <v>Stark</v>
      </c>
      <c r="I6" s="8" t="str">
        <v>Tony</v>
      </c>
    </row>
    <row r="7" spans="1:9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 cm="1">
        <f t="array" ref="H7:I7">_xlfn.XLOOKUP(F7,$A$4:$A$16,$B$4:$C$16)</f>
        <v>Manning</v>
      </c>
      <c r="I7" s="8" t="str">
        <v>Eli</v>
      </c>
    </row>
    <row r="8" spans="1:9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 cm="1">
        <f t="array" ref="H8:I8">_xlfn.XLOOKUP(F8,$A$4:$A$16,$B$4:$C$16)</f>
        <v>Elway</v>
      </c>
      <c r="I8" s="8" t="str">
        <v>John</v>
      </c>
    </row>
    <row r="9" spans="1:9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 cm="1">
        <f t="array" ref="H9:I9">_xlfn.XLOOKUP(F9,$A$4:$A$16,$B$4:$C$16)</f>
        <v>Favre</v>
      </c>
      <c r="I9" s="8" t="str">
        <v>Bret</v>
      </c>
    </row>
    <row r="10" spans="1:9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 cm="1">
        <f t="array" ref="H10:I10">_xlfn.XLOOKUP(F10,$A$4:$A$16,$B$4:$C$16)</f>
        <v>Pan</v>
      </c>
      <c r="I10" s="8" t="str">
        <v>Peter</v>
      </c>
    </row>
    <row r="11" spans="1:9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 cm="1">
        <f t="array" ref="H11:I11">_xlfn.XLOOKUP(F11,$A$4:$A$16,$B$4:$C$16)</f>
        <v>Smith</v>
      </c>
      <c r="I11" s="8" t="str">
        <v>John</v>
      </c>
    </row>
    <row r="12" spans="1:9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 cm="1">
        <f t="array" ref="H12:I12">_xlfn.XLOOKUP(F12,$A$4:$A$16,$B$4:$C$16)</f>
        <v>Cline</v>
      </c>
      <c r="I12" s="8" t="str">
        <v>Andy</v>
      </c>
    </row>
    <row r="13" spans="1:9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 cm="1">
        <f t="array" ref="H13:I13">_xlfn.XLOOKUP(F13,$A$4:$A$16,$B$4:$C$16)</f>
        <v>Jordan</v>
      </c>
      <c r="I13" s="8" t="str">
        <v>Micheal</v>
      </c>
    </row>
    <row r="14" spans="1:9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 cm="1">
        <f t="array" ref="H14:I14">_xlfn.XLOOKUP(F14,$A$4:$A$16,$B$4:$C$16)</f>
        <v>Woods</v>
      </c>
      <c r="I14" s="8" t="str">
        <v>Tiger</v>
      </c>
    </row>
    <row r="15" spans="1:9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 cm="1">
        <f t="array" ref="H15:I15">_xlfn.XLOOKUP(F15,$A$4:$A$16,$B$4:$C$16)</f>
        <v>Vick</v>
      </c>
      <c r="I15" s="8" t="str">
        <v>Micheal</v>
      </c>
    </row>
    <row r="16" spans="1:9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 cm="1">
        <f t="array" ref="H16:I16">_xlfn.XLOOKUP(F16,$A$4:$A$16,$B$4:$C$16)</f>
        <v>Doe</v>
      </c>
      <c r="I16" s="8" t="str">
        <v>John</v>
      </c>
    </row>
    <row r="20" spans="5:7" ht="30.75">
      <c r="E20" s="9" t="s">
        <v>29</v>
      </c>
    </row>
    <row r="22" spans="5:7" ht="30.75">
      <c r="E22" s="10" t="s">
        <v>30</v>
      </c>
      <c r="F22" s="10" t="s">
        <v>31</v>
      </c>
      <c r="G22" s="11" t="s">
        <v>32</v>
      </c>
    </row>
    <row r="23" spans="5:7">
      <c r="E23" s="12">
        <v>110608</v>
      </c>
      <c r="F23" s="13" t="str" cm="1">
        <f t="array" ref="F23:G23">_xlfn.XLOOKUP(E23,A4:A16,B4:C16)</f>
        <v>Doe</v>
      </c>
      <c r="G23" s="13" t="str">
        <v>John</v>
      </c>
    </row>
  </sheetData>
  <mergeCells count="2">
    <mergeCell ref="A1:C1"/>
    <mergeCell ref="F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zoomScaleNormal="100" workbookViewId="0">
      <selection activeCell="B28" sqref="B28"/>
    </sheetView>
  </sheetViews>
  <sheetFormatPr defaultColWidth="8.5703125" defaultRowHeight="14.25"/>
  <cols>
    <col min="1" max="1" width="12.140625" customWidth="1"/>
    <col min="2" max="2" width="10.140625" customWidth="1"/>
    <col min="3" max="3" width="10.5703125" customWidth="1"/>
    <col min="6" max="6" width="13" customWidth="1"/>
    <col min="7" max="7" width="10.42578125" customWidth="1"/>
    <col min="8" max="9" width="14" customWidth="1"/>
  </cols>
  <sheetData>
    <row r="1" spans="1:9" ht="21">
      <c r="A1" s="14" t="s">
        <v>0</v>
      </c>
      <c r="B1" s="14"/>
      <c r="C1" s="14"/>
      <c r="F1" s="15" t="s">
        <v>1</v>
      </c>
      <c r="G1" s="15"/>
      <c r="H1" s="15"/>
      <c r="I1" s="15"/>
    </row>
    <row r="3" spans="1:9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4</v>
      </c>
      <c r="I3" s="6" t="s">
        <v>3</v>
      </c>
    </row>
    <row r="4" spans="1:9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>VLOOKUP($F4,$A$3:$C$16,3,FALSE())</f>
        <v>Brad</v>
      </c>
      <c r="I4" s="8" t="str">
        <f>VLOOKUP($F4,$A$3:$C$16,2,FALSE())</f>
        <v>Pitt</v>
      </c>
    </row>
    <row r="5" spans="1:9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>VLOOKUP($F5,$A$3:$C$16,3,FALSE())</f>
        <v>Prince</v>
      </c>
      <c r="I5" s="8" t="str">
        <f>VLOOKUP($F5,$A$3:$C$16,2,FALSE())</f>
        <v>Williams</v>
      </c>
    </row>
    <row r="6" spans="1:9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>VLOOKUP($F6,$A$3:$C$16,3,FALSE())</f>
        <v>Tony</v>
      </c>
      <c r="I6" s="8" t="str">
        <f>VLOOKUP($F6,$A$3:$C$16,2,FALSE())</f>
        <v>Stark</v>
      </c>
    </row>
    <row r="7" spans="1:9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>VLOOKUP($F7,$A$3:$C$16,3,FALSE())</f>
        <v>Eli</v>
      </c>
      <c r="I7" s="8" t="str">
        <f>VLOOKUP($F7,$A$3:$C$16,2,FALSE())</f>
        <v>Manning</v>
      </c>
    </row>
    <row r="8" spans="1:9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>VLOOKUP($F8,$A$3:$C$16,3,FALSE())</f>
        <v>John</v>
      </c>
      <c r="I8" s="8" t="str">
        <f>VLOOKUP($F8,$A$3:$C$16,2,FALSE())</f>
        <v>Elway</v>
      </c>
    </row>
    <row r="9" spans="1:9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>VLOOKUP($F9,$A$3:$C$16,3,FALSE())</f>
        <v>Bret</v>
      </c>
      <c r="I9" s="8" t="str">
        <f>VLOOKUP($F9,$A$3:$C$16,2,FALSE())</f>
        <v>Favre</v>
      </c>
    </row>
    <row r="10" spans="1:9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>VLOOKUP($F10,$A$3:$C$16,3,FALSE())</f>
        <v>Peter</v>
      </c>
      <c r="I10" s="8" t="str">
        <f>VLOOKUP($F10,$A$3:$C$16,2,FALSE())</f>
        <v>Pan</v>
      </c>
    </row>
    <row r="11" spans="1:9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>VLOOKUP($F11,$A$3:$C$16,3,FALSE())</f>
        <v>John</v>
      </c>
      <c r="I11" s="8" t="str">
        <f>VLOOKUP($F11,$A$3:$C$16,2,FALSE())</f>
        <v>Smith</v>
      </c>
    </row>
    <row r="12" spans="1:9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>VLOOKUP($F12,$A$3:$C$16,3,FALSE())</f>
        <v>Andy</v>
      </c>
      <c r="I12" s="8" t="str">
        <f>VLOOKUP($F12,$A$3:$C$16,2,FALSE())</f>
        <v>Cline</v>
      </c>
    </row>
    <row r="13" spans="1:9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>VLOOKUP($F13,$A$3:$C$16,3,FALSE())</f>
        <v>Micheal</v>
      </c>
      <c r="I13" s="8" t="str">
        <f>VLOOKUP($F13,$A$3:$C$16,2,FALSE())</f>
        <v>Jordan</v>
      </c>
    </row>
    <row r="14" spans="1:9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>VLOOKUP($F14,$A$3:$C$16,3,FALSE())</f>
        <v>Tiger</v>
      </c>
      <c r="I14" s="8" t="str">
        <f>VLOOKUP($F14,$A$3:$C$16,2,FALSE())</f>
        <v>Woods</v>
      </c>
    </row>
    <row r="15" spans="1:9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>VLOOKUP($F15,$A$3:$C$16,3,FALSE())</f>
        <v>Micheal</v>
      </c>
      <c r="I15" s="8" t="str">
        <f>VLOOKUP($F15,$A$3:$C$16,2,FALSE())</f>
        <v>Vick</v>
      </c>
    </row>
    <row r="16" spans="1:9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>VLOOKUP($F16,$A$3:$C$16,3,FALSE())</f>
        <v>John</v>
      </c>
      <c r="I16" s="8" t="str">
        <f>VLOOKUP($F16,$A$3:$C$16,2,FALSE())</f>
        <v>Doe</v>
      </c>
    </row>
  </sheetData>
  <sheetProtection sheet="1" formatCells="0" formatColumns="0" formatRows="0" insertColumns="0" insertRows="0" insertHyperlinks="0" deleteColumns="0" deleteRows="0" sort="0" autoFilter="0" pivotTables="0"/>
  <mergeCells count="2">
    <mergeCell ref="A1:C1"/>
    <mergeCell ref="F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M36"/>
  <sheetViews>
    <sheetView showGridLines="0" zoomScaleNormal="100" workbookViewId="0">
      <selection activeCell="I4" sqref="I4:I16"/>
    </sheetView>
  </sheetViews>
  <sheetFormatPr defaultColWidth="8.5703125" defaultRowHeight="14.25"/>
  <cols>
    <col min="1" max="1" width="12.140625" customWidth="1"/>
    <col min="2" max="2" width="10.42578125" customWidth="1"/>
    <col min="3" max="3" width="10.5703125" customWidth="1"/>
    <col min="6" max="6" width="13" customWidth="1"/>
    <col min="7" max="7" width="10.42578125" customWidth="1"/>
    <col min="8" max="9" width="14" customWidth="1"/>
  </cols>
  <sheetData>
    <row r="1" spans="1:13" ht="21">
      <c r="A1" s="14" t="s">
        <v>33</v>
      </c>
      <c r="B1" s="14"/>
      <c r="C1" s="14"/>
      <c r="F1" s="15" t="s">
        <v>1</v>
      </c>
      <c r="G1" s="15"/>
      <c r="H1" s="15"/>
      <c r="I1" s="15"/>
    </row>
    <row r="3" spans="1:13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3</v>
      </c>
      <c r="I3" s="6" t="s">
        <v>34</v>
      </c>
    </row>
    <row r="4" spans="1:13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>_xlfn.XLOOKUP(F4,$A$4:$A$16,$B$4:$B$16,"NOT FOUND",0)</f>
        <v>Pitt</v>
      </c>
      <c r="I4" s="8" t="str">
        <f>_xlfn.XLOOKUP(F4,$A$24:$A$36,$B$24:$B$36,"NOT FOUND",0)</f>
        <v>Austin</v>
      </c>
    </row>
    <row r="5" spans="1:13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>_xlfn.XLOOKUP(F5,$A$4:$A$16,$B$4:$B$16,"NOT FOUND",0)</f>
        <v>Williams</v>
      </c>
      <c r="I5" s="8" t="str">
        <f t="shared" ref="I5:I16" si="0">_xlfn.XLOOKUP(F5,$A$24:$A$36,$B$24:$B$36,"NOT FOUND",0)</f>
        <v>Chicago</v>
      </c>
    </row>
    <row r="6" spans="1:13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 t="shared" ref="H6:H16" si="1">_xlfn.XLOOKUP(F6,$A$4:$A$16,$B$4:$B$16,"NOT FOUND",0)</f>
        <v>Stark</v>
      </c>
      <c r="I6" s="8" t="str">
        <f t="shared" si="0"/>
        <v>Austin</v>
      </c>
    </row>
    <row r="7" spans="1:13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 t="shared" si="1"/>
        <v>Manning</v>
      </c>
      <c r="I7" s="8" t="str">
        <f t="shared" si="0"/>
        <v>Columbus</v>
      </c>
      <c r="M7" t="s">
        <v>35</v>
      </c>
    </row>
    <row r="8" spans="1:13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 t="shared" si="1"/>
        <v>Elway</v>
      </c>
      <c r="I8" s="8" t="str">
        <f t="shared" si="0"/>
        <v>Tampa Bay</v>
      </c>
    </row>
    <row r="9" spans="1:13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 t="shared" si="1"/>
        <v>Favre</v>
      </c>
      <c r="I9" s="8" t="str">
        <f t="shared" si="0"/>
        <v>Chicago</v>
      </c>
    </row>
    <row r="10" spans="1:13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 t="shared" si="1"/>
        <v>Pan</v>
      </c>
      <c r="I10" s="8" t="str">
        <f t="shared" si="0"/>
        <v>Chicago</v>
      </c>
    </row>
    <row r="11" spans="1:13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 t="shared" si="1"/>
        <v>Smith</v>
      </c>
      <c r="I11" s="8" t="str">
        <f t="shared" si="0"/>
        <v>Tampa Bay</v>
      </c>
    </row>
    <row r="12" spans="1:13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 t="shared" si="1"/>
        <v>Cline</v>
      </c>
      <c r="I12" s="8" t="str">
        <f t="shared" si="0"/>
        <v>Chicago</v>
      </c>
    </row>
    <row r="13" spans="1:13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 t="shared" si="1"/>
        <v>Jordan</v>
      </c>
      <c r="I13" s="8" t="str">
        <f t="shared" si="0"/>
        <v>Tampa Bay</v>
      </c>
    </row>
    <row r="14" spans="1:13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 t="shared" si="1"/>
        <v>Woods</v>
      </c>
      <c r="I14" s="8" t="str">
        <f t="shared" si="0"/>
        <v>Austin</v>
      </c>
    </row>
    <row r="15" spans="1:13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 t="shared" si="1"/>
        <v>Vick</v>
      </c>
      <c r="I15" s="8" t="str">
        <f t="shared" si="0"/>
        <v>Tampa Bay</v>
      </c>
    </row>
    <row r="16" spans="1:13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 t="shared" si="1"/>
        <v>Doe</v>
      </c>
      <c r="I16" s="8" t="str">
        <f t="shared" si="0"/>
        <v>Columbus</v>
      </c>
    </row>
    <row r="21" spans="1:3" ht="21">
      <c r="A21" s="14" t="s">
        <v>36</v>
      </c>
      <c r="B21" s="14"/>
      <c r="C21" s="14"/>
    </row>
    <row r="23" spans="1:3">
      <c r="A23" s="1" t="s">
        <v>2</v>
      </c>
      <c r="B23" s="2" t="s">
        <v>34</v>
      </c>
      <c r="C23" s="3" t="s">
        <v>37</v>
      </c>
    </row>
    <row r="24" spans="1:3">
      <c r="A24">
        <v>110608</v>
      </c>
      <c r="B24" t="s">
        <v>38</v>
      </c>
      <c r="C24" t="s">
        <v>39</v>
      </c>
    </row>
    <row r="25" spans="1:3">
      <c r="A25">
        <v>253072</v>
      </c>
      <c r="B25" t="s">
        <v>40</v>
      </c>
      <c r="C25" t="s">
        <v>41</v>
      </c>
    </row>
    <row r="26" spans="1:3">
      <c r="A26">
        <v>352711</v>
      </c>
      <c r="B26" t="s">
        <v>42</v>
      </c>
      <c r="C26" t="s">
        <v>43</v>
      </c>
    </row>
    <row r="27" spans="1:3">
      <c r="A27">
        <v>391006</v>
      </c>
      <c r="B27" t="s">
        <v>40</v>
      </c>
      <c r="C27" t="s">
        <v>41</v>
      </c>
    </row>
    <row r="28" spans="1:3">
      <c r="A28">
        <v>392128</v>
      </c>
      <c r="B28" t="s">
        <v>40</v>
      </c>
      <c r="C28" t="s">
        <v>41</v>
      </c>
    </row>
    <row r="29" spans="1:3">
      <c r="A29">
        <v>549457</v>
      </c>
      <c r="B29" t="s">
        <v>42</v>
      </c>
      <c r="C29" t="s">
        <v>43</v>
      </c>
    </row>
    <row r="30" spans="1:3">
      <c r="A30">
        <v>580622</v>
      </c>
      <c r="B30" t="s">
        <v>38</v>
      </c>
      <c r="C30" t="s">
        <v>39</v>
      </c>
    </row>
    <row r="31" spans="1:3">
      <c r="A31">
        <v>602693</v>
      </c>
      <c r="B31" t="s">
        <v>42</v>
      </c>
      <c r="C31" t="s">
        <v>43</v>
      </c>
    </row>
    <row r="32" spans="1:3">
      <c r="A32">
        <v>611810</v>
      </c>
      <c r="B32" t="s">
        <v>44</v>
      </c>
      <c r="C32" t="s">
        <v>45</v>
      </c>
    </row>
    <row r="33" spans="1:3">
      <c r="A33">
        <v>612235</v>
      </c>
      <c r="B33" t="s">
        <v>42</v>
      </c>
      <c r="C33" t="s">
        <v>43</v>
      </c>
    </row>
    <row r="34" spans="1:3">
      <c r="A34">
        <v>795574</v>
      </c>
      <c r="B34" t="s">
        <v>44</v>
      </c>
      <c r="C34" t="s">
        <v>45</v>
      </c>
    </row>
    <row r="35" spans="1:3">
      <c r="A35">
        <v>830385</v>
      </c>
      <c r="B35" t="s">
        <v>40</v>
      </c>
      <c r="C35" t="s">
        <v>41</v>
      </c>
    </row>
    <row r="36" spans="1:3">
      <c r="A36">
        <v>990678</v>
      </c>
      <c r="B36" t="s">
        <v>44</v>
      </c>
      <c r="C36" t="s">
        <v>45</v>
      </c>
    </row>
  </sheetData>
  <mergeCells count="3">
    <mergeCell ref="A1:C1"/>
    <mergeCell ref="F1:I1"/>
    <mergeCell ref="A21:C2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D9D9"/>
  </sheetPr>
  <dimension ref="A1:I36"/>
  <sheetViews>
    <sheetView showGridLines="0" topLeftCell="A3" zoomScaleNormal="100" workbookViewId="0">
      <selection activeCell="I31" sqref="I31"/>
    </sheetView>
  </sheetViews>
  <sheetFormatPr defaultColWidth="8.5703125" defaultRowHeight="14.25"/>
  <cols>
    <col min="1" max="1" width="12.140625" customWidth="1"/>
    <col min="2" max="2" width="10.42578125" customWidth="1"/>
    <col min="3" max="3" width="10.5703125" customWidth="1"/>
    <col min="6" max="6" width="13" customWidth="1"/>
    <col min="7" max="7" width="10.42578125" customWidth="1"/>
    <col min="8" max="9" width="14" customWidth="1"/>
  </cols>
  <sheetData>
    <row r="1" spans="1:9" ht="21">
      <c r="A1" s="14" t="s">
        <v>33</v>
      </c>
      <c r="B1" s="14"/>
      <c r="C1" s="14"/>
      <c r="F1" s="15" t="s">
        <v>1</v>
      </c>
      <c r="G1" s="15"/>
      <c r="H1" s="15"/>
      <c r="I1" s="15"/>
    </row>
    <row r="3" spans="1:9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3</v>
      </c>
      <c r="I3" s="6" t="s">
        <v>34</v>
      </c>
    </row>
    <row r="4" spans="1:9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>VLOOKUP(F4,$A$3:$C$16,2,0)</f>
        <v>Pitt</v>
      </c>
      <c r="I4" s="8" t="str">
        <f>VLOOKUP(F4,$A$23:$C$36,2,0)</f>
        <v>Austin</v>
      </c>
    </row>
    <row r="5" spans="1:9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>VLOOKUP(F5,$A$3:$C$16,2,0)</f>
        <v>Williams</v>
      </c>
      <c r="I5" s="8" t="str">
        <f>VLOOKUP(F5,$A$23:$C$36,2,0)</f>
        <v>Chicago</v>
      </c>
    </row>
    <row r="6" spans="1:9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>VLOOKUP(F6,$A$3:$C$16,2,0)</f>
        <v>Stark</v>
      </c>
      <c r="I6" s="8" t="str">
        <f>VLOOKUP(F6,$A$23:$C$36,2,0)</f>
        <v>Austin</v>
      </c>
    </row>
    <row r="7" spans="1:9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>VLOOKUP(F7,$A$3:$C$16,2,0)</f>
        <v>Manning</v>
      </c>
      <c r="I7" s="8" t="str">
        <f>VLOOKUP(F7,$A$23:$C$36,2,0)</f>
        <v>Columbus</v>
      </c>
    </row>
    <row r="8" spans="1:9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>VLOOKUP(F8,$A$3:$C$16,2,0)</f>
        <v>Elway</v>
      </c>
      <c r="I8" s="8" t="str">
        <f>VLOOKUP(F8,$A$23:$C$36,2,0)</f>
        <v>Tampa Bay</v>
      </c>
    </row>
    <row r="9" spans="1:9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>VLOOKUP(F9,$A$3:$C$16,2,0)</f>
        <v>Favre</v>
      </c>
      <c r="I9" s="8" t="str">
        <f>VLOOKUP(F9,$A$23:$C$36,2,0)</f>
        <v>Chicago</v>
      </c>
    </row>
    <row r="10" spans="1:9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>VLOOKUP(F10,$A$3:$C$16,2,0)</f>
        <v>Pan</v>
      </c>
      <c r="I10" s="8" t="str">
        <f>VLOOKUP(F10,$A$23:$C$36,2,0)</f>
        <v>Chicago</v>
      </c>
    </row>
    <row r="11" spans="1:9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>VLOOKUP(F11,$A$3:$C$16,2,0)</f>
        <v>Smith</v>
      </c>
      <c r="I11" s="8" t="str">
        <f>VLOOKUP(F11,$A$23:$C$36,2,0)</f>
        <v>Tampa Bay</v>
      </c>
    </row>
    <row r="12" spans="1:9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>VLOOKUP(F12,$A$3:$C$16,2,0)</f>
        <v>Cline</v>
      </c>
      <c r="I12" s="8" t="str">
        <f>VLOOKUP(F12,$A$23:$C$36,2,0)</f>
        <v>Chicago</v>
      </c>
    </row>
    <row r="13" spans="1:9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>VLOOKUP(F13,$A$3:$C$16,2,0)</f>
        <v>Jordan</v>
      </c>
      <c r="I13" s="8" t="str">
        <f>VLOOKUP(F13,$A$23:$C$36,2,0)</f>
        <v>Tampa Bay</v>
      </c>
    </row>
    <row r="14" spans="1:9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>VLOOKUP(F14,$A$3:$C$16,2,0)</f>
        <v>Woods</v>
      </c>
      <c r="I14" s="8" t="str">
        <f>VLOOKUP(F14,$A$23:$C$36,2,0)</f>
        <v>Austin</v>
      </c>
    </row>
    <row r="15" spans="1:9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>VLOOKUP(F15,$A$3:$C$16,2,0)</f>
        <v>Vick</v>
      </c>
      <c r="I15" s="8" t="str">
        <f>VLOOKUP(F15,$A$23:$C$36,2,0)</f>
        <v>Tampa Bay</v>
      </c>
    </row>
    <row r="16" spans="1:9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>VLOOKUP(F16,$A$3:$C$16,2,0)</f>
        <v>Doe</v>
      </c>
      <c r="I16" s="8" t="str">
        <f>VLOOKUP(F16,$A$23:$C$36,2,0)</f>
        <v>Columbus</v>
      </c>
    </row>
    <row r="21" spans="1:3" ht="21">
      <c r="A21" s="14" t="s">
        <v>36</v>
      </c>
      <c r="B21" s="14"/>
      <c r="C21" s="14"/>
    </row>
    <row r="23" spans="1:3">
      <c r="A23" s="1" t="s">
        <v>2</v>
      </c>
      <c r="B23" s="2" t="s">
        <v>34</v>
      </c>
      <c r="C23" s="3" t="s">
        <v>37</v>
      </c>
    </row>
    <row r="24" spans="1:3">
      <c r="A24">
        <v>110608</v>
      </c>
      <c r="B24" t="s">
        <v>38</v>
      </c>
      <c r="C24" t="s">
        <v>39</v>
      </c>
    </row>
    <row r="25" spans="1:3">
      <c r="A25">
        <v>253072</v>
      </c>
      <c r="B25" t="s">
        <v>40</v>
      </c>
      <c r="C25" t="s">
        <v>41</v>
      </c>
    </row>
    <row r="26" spans="1:3">
      <c r="A26">
        <v>352711</v>
      </c>
      <c r="B26" t="s">
        <v>42</v>
      </c>
      <c r="C26" t="s">
        <v>43</v>
      </c>
    </row>
    <row r="27" spans="1:3">
      <c r="A27">
        <v>391006</v>
      </c>
      <c r="B27" t="s">
        <v>40</v>
      </c>
      <c r="C27" t="s">
        <v>41</v>
      </c>
    </row>
    <row r="28" spans="1:3">
      <c r="A28">
        <v>392128</v>
      </c>
      <c r="B28" t="s">
        <v>40</v>
      </c>
      <c r="C28" t="s">
        <v>41</v>
      </c>
    </row>
    <row r="29" spans="1:3">
      <c r="A29">
        <v>549457</v>
      </c>
      <c r="B29" t="s">
        <v>42</v>
      </c>
      <c r="C29" t="s">
        <v>43</v>
      </c>
    </row>
    <row r="30" spans="1:3">
      <c r="A30">
        <v>580622</v>
      </c>
      <c r="B30" t="s">
        <v>38</v>
      </c>
      <c r="C30" t="s">
        <v>39</v>
      </c>
    </row>
    <row r="31" spans="1:3">
      <c r="A31">
        <v>602693</v>
      </c>
      <c r="B31" t="s">
        <v>42</v>
      </c>
      <c r="C31" t="s">
        <v>43</v>
      </c>
    </row>
    <row r="32" spans="1:3">
      <c r="A32">
        <v>611810</v>
      </c>
      <c r="B32" t="s">
        <v>44</v>
      </c>
      <c r="C32" t="s">
        <v>45</v>
      </c>
    </row>
    <row r="33" spans="1:3">
      <c r="A33">
        <v>612235</v>
      </c>
      <c r="B33" t="s">
        <v>42</v>
      </c>
      <c r="C33" t="s">
        <v>43</v>
      </c>
    </row>
    <row r="34" spans="1:3">
      <c r="A34">
        <v>795574</v>
      </c>
      <c r="B34" t="s">
        <v>44</v>
      </c>
      <c r="C34" t="s">
        <v>45</v>
      </c>
    </row>
    <row r="35" spans="1:3">
      <c r="A35">
        <v>830385</v>
      </c>
      <c r="B35" t="s">
        <v>40</v>
      </c>
      <c r="C35" t="s">
        <v>41</v>
      </c>
    </row>
    <row r="36" spans="1:3">
      <c r="A36">
        <v>990678</v>
      </c>
      <c r="B36" t="s">
        <v>44</v>
      </c>
      <c r="C36" t="s">
        <v>45</v>
      </c>
    </row>
  </sheetData>
  <mergeCells count="3">
    <mergeCell ref="A1:C1"/>
    <mergeCell ref="F1:I1"/>
    <mergeCell ref="A21:C2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J33"/>
  <sheetViews>
    <sheetView showGridLines="0" tabSelected="1" zoomScaleNormal="100" workbookViewId="0">
      <selection activeCell="F18" sqref="F18"/>
    </sheetView>
  </sheetViews>
  <sheetFormatPr defaultColWidth="8.5703125" defaultRowHeight="14.25"/>
  <cols>
    <col min="1" max="1" width="12.140625" customWidth="1"/>
    <col min="2" max="2" width="14.42578125" customWidth="1"/>
    <col min="5" max="5" width="13" customWidth="1"/>
    <col min="6" max="6" width="10.42578125" customWidth="1"/>
    <col min="7" max="7" width="14" customWidth="1"/>
    <col min="9" max="9" width="13.5703125" bestFit="1" customWidth="1"/>
    <col min="10" max="10" width="51.42578125" customWidth="1"/>
  </cols>
  <sheetData>
    <row r="1" spans="1:10" ht="21">
      <c r="A1" s="14" t="s">
        <v>46</v>
      </c>
      <c r="B1" s="14"/>
      <c r="E1" s="15" t="s">
        <v>1</v>
      </c>
      <c r="F1" s="15"/>
      <c r="G1" s="15"/>
    </row>
    <row r="3" spans="1:10">
      <c r="A3" s="1" t="s">
        <v>47</v>
      </c>
      <c r="B3" s="2" t="s">
        <v>48</v>
      </c>
      <c r="E3" s="4" t="s">
        <v>2</v>
      </c>
      <c r="F3" s="5" t="s">
        <v>5</v>
      </c>
      <c r="G3" s="5" t="s">
        <v>48</v>
      </c>
    </row>
    <row r="4" spans="1:10">
      <c r="A4" s="7">
        <v>25000</v>
      </c>
      <c r="B4" t="s">
        <v>49</v>
      </c>
      <c r="E4">
        <v>990678</v>
      </c>
      <c r="F4" s="7">
        <v>84289</v>
      </c>
      <c r="G4" s="8" t="str">
        <f>_xlfn.XLOOKUP(F4,$A$4:$A$8,$B$4:$B$8,"NOT FOUND",-1)</f>
        <v>Level C</v>
      </c>
    </row>
    <row r="5" spans="1:10">
      <c r="A5" s="7">
        <v>50000</v>
      </c>
      <c r="B5" t="s">
        <v>50</v>
      </c>
      <c r="E5">
        <v>830385</v>
      </c>
      <c r="F5" s="7">
        <v>137670</v>
      </c>
      <c r="G5" s="8" t="str">
        <f t="shared" ref="G5:G17" si="0">_xlfn.XLOOKUP(F5,$A$4:$A$8,$B$4:$B$8,"NOT FOUND",-1)</f>
        <v>Level D</v>
      </c>
    </row>
    <row r="6" spans="1:10">
      <c r="A6" s="7">
        <v>75000</v>
      </c>
      <c r="B6" t="s">
        <v>51</v>
      </c>
      <c r="E6">
        <v>795574</v>
      </c>
      <c r="F6" s="7">
        <v>190024</v>
      </c>
      <c r="G6" s="8" t="str">
        <f t="shared" si="0"/>
        <v>Level E</v>
      </c>
    </row>
    <row r="7" spans="1:10" ht="15">
      <c r="A7" s="7">
        <v>100000</v>
      </c>
      <c r="B7" t="s">
        <v>52</v>
      </c>
      <c r="E7">
        <v>580622</v>
      </c>
      <c r="F7" s="7">
        <v>122604</v>
      </c>
      <c r="G7" s="8" t="str">
        <f t="shared" si="0"/>
        <v>Level D</v>
      </c>
    </row>
    <row r="8" spans="1:10" ht="16.5" customHeight="1">
      <c r="A8" s="7">
        <v>150000</v>
      </c>
      <c r="B8" t="s">
        <v>53</v>
      </c>
      <c r="E8">
        <v>549457</v>
      </c>
      <c r="F8" s="7">
        <v>111709</v>
      </c>
      <c r="G8" s="8" t="str">
        <f t="shared" si="0"/>
        <v>Level D</v>
      </c>
    </row>
    <row r="9" spans="1:10">
      <c r="E9">
        <v>392128</v>
      </c>
      <c r="F9" s="7">
        <v>85931</v>
      </c>
      <c r="G9" s="8" t="str">
        <f t="shared" si="0"/>
        <v>Level C</v>
      </c>
    </row>
    <row r="10" spans="1:10">
      <c r="E10">
        <v>391006</v>
      </c>
      <c r="F10" s="7">
        <v>168114</v>
      </c>
      <c r="G10" s="8" t="str">
        <f t="shared" si="0"/>
        <v>Level E</v>
      </c>
    </row>
    <row r="11" spans="1:10">
      <c r="E11">
        <v>352711</v>
      </c>
      <c r="F11" s="7">
        <v>89627</v>
      </c>
      <c r="G11" s="8" t="str">
        <f t="shared" si="0"/>
        <v>Level C</v>
      </c>
    </row>
    <row r="12" spans="1:10">
      <c r="E12">
        <v>253072</v>
      </c>
      <c r="F12" s="7">
        <v>149946</v>
      </c>
      <c r="G12" s="8" t="str">
        <f t="shared" si="0"/>
        <v>Level D</v>
      </c>
    </row>
    <row r="13" spans="1:10">
      <c r="E13">
        <v>612235</v>
      </c>
      <c r="F13" s="7">
        <v>145893</v>
      </c>
      <c r="G13" s="8" t="str">
        <f t="shared" si="0"/>
        <v>Level D</v>
      </c>
    </row>
    <row r="14" spans="1:10">
      <c r="E14">
        <v>611810</v>
      </c>
      <c r="F14" s="7">
        <v>64757</v>
      </c>
      <c r="G14" s="8" t="str">
        <f t="shared" si="0"/>
        <v>Level B</v>
      </c>
    </row>
    <row r="15" spans="1:10">
      <c r="E15">
        <v>602693</v>
      </c>
      <c r="F15" s="7">
        <v>71478</v>
      </c>
      <c r="G15" s="8" t="str">
        <f t="shared" si="0"/>
        <v>Level B</v>
      </c>
    </row>
    <row r="16" spans="1:10" ht="15">
      <c r="E16">
        <v>110608</v>
      </c>
      <c r="F16" s="7">
        <v>131505</v>
      </c>
      <c r="G16" s="8" t="str">
        <f t="shared" si="0"/>
        <v>Level D</v>
      </c>
      <c r="J16" s="18" t="s">
        <v>54</v>
      </c>
    </row>
    <row r="17" spans="6:10">
      <c r="F17" s="21">
        <v>2500</v>
      </c>
      <c r="G17" s="8" t="str">
        <f t="shared" si="0"/>
        <v>NOT FOUND</v>
      </c>
    </row>
    <row r="18" spans="6:10">
      <c r="J18" t="s">
        <v>55</v>
      </c>
    </row>
    <row r="19" spans="6:10" ht="15">
      <c r="I19" s="16" t="s">
        <v>56</v>
      </c>
      <c r="J19" s="17" t="s">
        <v>57</v>
      </c>
    </row>
    <row r="21" spans="6:10" ht="45.75">
      <c r="I21">
        <v>1</v>
      </c>
      <c r="J21" s="9" t="s">
        <v>58</v>
      </c>
    </row>
    <row r="22" spans="6:10" ht="15">
      <c r="J22" s="9"/>
    </row>
    <row r="23" spans="6:10" ht="15">
      <c r="J23" t="s">
        <v>59</v>
      </c>
    </row>
    <row r="24" spans="6:10" ht="15">
      <c r="I24">
        <v>2</v>
      </c>
    </row>
    <row r="25" spans="6:10" ht="30.75">
      <c r="I25">
        <v>3</v>
      </c>
      <c r="J25" s="17" t="s">
        <v>60</v>
      </c>
    </row>
    <row r="26" spans="6:10" ht="15"/>
    <row r="27" spans="6:10" ht="45.75">
      <c r="J27" s="9" t="s">
        <v>61</v>
      </c>
    </row>
    <row r="28" spans="6:10" ht="15">
      <c r="H28" s="20"/>
      <c r="I28">
        <v>4</v>
      </c>
    </row>
    <row r="29" spans="6:10" ht="30.75">
      <c r="I29">
        <v>5</v>
      </c>
      <c r="J29" s="19" t="s">
        <v>62</v>
      </c>
    </row>
    <row r="30" spans="6:10" ht="15"/>
    <row r="31" spans="6:10" ht="30.75">
      <c r="J31" s="9" t="s">
        <v>63</v>
      </c>
    </row>
    <row r="32" spans="6:10">
      <c r="I32">
        <v>6</v>
      </c>
    </row>
    <row r="33" spans="9:10" ht="30.75">
      <c r="I33">
        <v>7</v>
      </c>
      <c r="J33" s="9" t="s">
        <v>64</v>
      </c>
    </row>
  </sheetData>
  <mergeCells count="2">
    <mergeCell ref="A1:B1"/>
    <mergeCell ref="E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D9D9"/>
  </sheetPr>
  <dimension ref="A1:G16"/>
  <sheetViews>
    <sheetView showGridLines="0" zoomScaleNormal="100" workbookViewId="0">
      <selection activeCell="I31" sqref="I31"/>
    </sheetView>
  </sheetViews>
  <sheetFormatPr defaultColWidth="8.5703125" defaultRowHeight="14.25"/>
  <cols>
    <col min="1" max="1" width="12.140625" customWidth="1"/>
    <col min="2" max="2" width="14.42578125" customWidth="1"/>
    <col min="5" max="5" width="13" customWidth="1"/>
    <col min="6" max="6" width="10.42578125" customWidth="1"/>
    <col min="7" max="7" width="14" customWidth="1"/>
  </cols>
  <sheetData>
    <row r="1" spans="1:7" ht="21">
      <c r="A1" s="14" t="s">
        <v>46</v>
      </c>
      <c r="B1" s="14"/>
      <c r="E1" s="15" t="s">
        <v>1</v>
      </c>
      <c r="F1" s="15"/>
      <c r="G1" s="15"/>
    </row>
    <row r="3" spans="1:7">
      <c r="A3" s="1" t="s">
        <v>47</v>
      </c>
      <c r="B3" s="2" t="s">
        <v>48</v>
      </c>
      <c r="E3" s="4" t="s">
        <v>2</v>
      </c>
      <c r="F3" s="5" t="s">
        <v>5</v>
      </c>
      <c r="G3" s="5" t="s">
        <v>48</v>
      </c>
    </row>
    <row r="4" spans="1:7">
      <c r="A4" s="7">
        <v>25000</v>
      </c>
      <c r="B4" t="s">
        <v>49</v>
      </c>
      <c r="E4">
        <v>990678</v>
      </c>
      <c r="F4" s="7">
        <v>84289</v>
      </c>
      <c r="G4" s="8" t="str">
        <f>VLOOKUP(F4,$A$3:$B$8,2,TRUE())</f>
        <v>Level C</v>
      </c>
    </row>
    <row r="5" spans="1:7">
      <c r="A5" s="7">
        <v>50000</v>
      </c>
      <c r="B5" t="s">
        <v>50</v>
      </c>
      <c r="E5">
        <v>830385</v>
      </c>
      <c r="F5" s="7">
        <v>137670</v>
      </c>
      <c r="G5" s="8" t="str">
        <f>VLOOKUP(F5,$A$3:$B$8,2,TRUE())</f>
        <v>Level D</v>
      </c>
    </row>
    <row r="6" spans="1:7">
      <c r="A6" s="7">
        <v>75000</v>
      </c>
      <c r="B6" t="s">
        <v>51</v>
      </c>
      <c r="E6">
        <v>795574</v>
      </c>
      <c r="F6" s="7">
        <v>190024</v>
      </c>
      <c r="G6" s="8" t="str">
        <f>VLOOKUP(F6,$A$3:$B$8,2,TRUE())</f>
        <v>Level E</v>
      </c>
    </row>
    <row r="7" spans="1:7">
      <c r="A7" s="7">
        <v>100000</v>
      </c>
      <c r="B7" t="s">
        <v>52</v>
      </c>
      <c r="E7">
        <v>580622</v>
      </c>
      <c r="F7" s="7">
        <v>122604</v>
      </c>
      <c r="G7" s="8" t="str">
        <f>VLOOKUP(F7,$A$3:$B$8,2,TRUE())</f>
        <v>Level D</v>
      </c>
    </row>
    <row r="8" spans="1:7">
      <c r="A8" s="7">
        <v>150000</v>
      </c>
      <c r="B8" t="s">
        <v>53</v>
      </c>
      <c r="E8">
        <v>549457</v>
      </c>
      <c r="F8" s="7">
        <v>111709</v>
      </c>
      <c r="G8" s="8" t="str">
        <f>VLOOKUP(F8,$A$3:$B$8,2,TRUE())</f>
        <v>Level D</v>
      </c>
    </row>
    <row r="9" spans="1:7">
      <c r="E9">
        <v>392128</v>
      </c>
      <c r="F9" s="7">
        <v>85931</v>
      </c>
      <c r="G9" s="8" t="str">
        <f>VLOOKUP(F9,$A$3:$B$8,2,TRUE())</f>
        <v>Level C</v>
      </c>
    </row>
    <row r="10" spans="1:7">
      <c r="E10">
        <v>391006</v>
      </c>
      <c r="F10" s="7">
        <v>168114</v>
      </c>
      <c r="G10" s="8" t="str">
        <f>VLOOKUP(F10,$A$3:$B$8,2,TRUE())</f>
        <v>Level E</v>
      </c>
    </row>
    <row r="11" spans="1:7">
      <c r="E11">
        <v>352711</v>
      </c>
      <c r="F11" s="7">
        <v>89627</v>
      </c>
      <c r="G11" s="8" t="str">
        <f>VLOOKUP(F11,$A$3:$B$8,2,TRUE())</f>
        <v>Level C</v>
      </c>
    </row>
    <row r="12" spans="1:7">
      <c r="E12">
        <v>253072</v>
      </c>
      <c r="F12" s="7">
        <v>149946</v>
      </c>
      <c r="G12" s="8" t="str">
        <f>VLOOKUP(F12,$A$3:$B$8,2,TRUE())</f>
        <v>Level D</v>
      </c>
    </row>
    <row r="13" spans="1:7">
      <c r="E13">
        <v>612235</v>
      </c>
      <c r="F13" s="7">
        <v>145893</v>
      </c>
      <c r="G13" s="8" t="str">
        <f>VLOOKUP(F13,$A$3:$B$8,2,TRUE())</f>
        <v>Level D</v>
      </c>
    </row>
    <row r="14" spans="1:7">
      <c r="E14">
        <v>611810</v>
      </c>
      <c r="F14" s="7">
        <v>64757</v>
      </c>
      <c r="G14" s="8" t="str">
        <f>VLOOKUP(F14,$A$3:$B$8,2,TRUE())</f>
        <v>Level B</v>
      </c>
    </row>
    <row r="15" spans="1:7">
      <c r="E15">
        <v>602693</v>
      </c>
      <c r="F15" s="7">
        <v>71478</v>
      </c>
      <c r="G15" s="8" t="str">
        <f>VLOOKUP(F15,$A$3:$B$8,2,TRUE())</f>
        <v>Level B</v>
      </c>
    </row>
    <row r="16" spans="1:7">
      <c r="E16">
        <v>110608</v>
      </c>
      <c r="F16" s="7">
        <v>131505</v>
      </c>
      <c r="G16" s="8" t="str">
        <f>VLOOKUP(F16,$A$3:$B$8,2,TRUE())</f>
        <v>Level D</v>
      </c>
    </row>
  </sheetData>
  <mergeCells count="2">
    <mergeCell ref="A1:B1"/>
    <mergeCell ref="E1:G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Newman</dc:creator>
  <cp:keywords/>
  <dc:description/>
  <cp:lastModifiedBy/>
  <cp:revision>0</cp:revision>
  <dcterms:created xsi:type="dcterms:W3CDTF">2022-06-09T01:13:09Z</dcterms:created>
  <dcterms:modified xsi:type="dcterms:W3CDTF">2026-05-15T17:11:59Z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ActionId">
    <vt:lpwstr>3b69e5fb-c32f-434b-8e05-f1dc29bab916</vt:lpwstr>
  </property>
  <property fmtid="{D5CDD505-2E9C-101B-9397-08002B2CF9AE}" pid="3" name="MSIP_Label_767a5d4c-6e68-416c-b53b-e38e179fc32e_ContentBits">
    <vt:lpwstr>0</vt:lpwstr>
  </property>
  <property fmtid="{D5CDD505-2E9C-101B-9397-08002B2CF9AE}" pid="4" name="MSIP_Label_767a5d4c-6e68-416c-b53b-e38e179fc32e_Enabled">
    <vt:lpwstr>true</vt:lpwstr>
  </property>
  <property fmtid="{D5CDD505-2E9C-101B-9397-08002B2CF9AE}" pid="5" name="MSIP_Label_767a5d4c-6e68-416c-b53b-e38e179fc32e_Method">
    <vt:lpwstr>Standard</vt:lpwstr>
  </property>
  <property fmtid="{D5CDD505-2E9C-101B-9397-08002B2CF9AE}" pid="6" name="MSIP_Label_767a5d4c-6e68-416c-b53b-e38e179fc32e_Name">
    <vt:lpwstr>Private</vt:lpwstr>
  </property>
  <property fmtid="{D5CDD505-2E9C-101B-9397-08002B2CF9AE}" pid="7" name="MSIP_Label_767a5d4c-6e68-416c-b53b-e38e179fc32e_SetDate">
    <vt:lpwstr>2023-03-06T08:09:01Z</vt:lpwstr>
  </property>
  <property fmtid="{D5CDD505-2E9C-101B-9397-08002B2CF9AE}" pid="8" name="MSIP_Label_767a5d4c-6e68-416c-b53b-e38e179fc32e_SiteId">
    <vt:lpwstr>f4db3ffa-dfb1-4f2d-8ade-468d458e11c2</vt:lpwstr>
  </property>
</Properties>
</file>