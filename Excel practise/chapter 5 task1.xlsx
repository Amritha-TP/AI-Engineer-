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C161F2B5-172A-474F-9F81-B3C72D0A0F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 a="1"/>
  <c r="H110" i="1"/>
  <c r="H100" i="1" a="1"/>
  <c r="H100" i="1"/>
  <c r="H92" i="1" a="1"/>
  <c r="H92" i="1"/>
  <c r="H85" i="1" a="1"/>
  <c r="H85" i="1"/>
  <c r="H79" i="1" a="1"/>
  <c r="H79" i="1"/>
  <c r="H59" i="1" a="1"/>
  <c r="H73" i="1" s="1" a="1"/>
  <c r="H73" i="1" s="1"/>
  <c r="H59" i="1"/>
  <c r="H46" i="1" a="1"/>
  <c r="H46" i="1"/>
  <c r="H33" i="1" a="1"/>
  <c r="H33" i="1"/>
  <c r="H20" i="1" a="1"/>
  <c r="H20" i="1"/>
  <c r="J15" i="1"/>
  <c r="J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<sst xmlns="http://schemas.openxmlformats.org/spreadsheetml/2006/main" count="112" uniqueCount="62">
  <si>
    <t>Emp ID</t>
  </si>
  <si>
    <t>Employee Name</t>
  </si>
  <si>
    <t>Department</t>
  </si>
  <si>
    <t>Salary</t>
  </si>
  <si>
    <t>Location</t>
  </si>
  <si>
    <t>Joining Year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</si>
  <si>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</si>
  <si>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</si>
  <si>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</si>
  <si>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</si>
  <si>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</si>
  <si>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</si>
  <si>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</si>
  <si>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</si>
  <si>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</si>
  <si>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</si>
  <si>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</si>
  <si>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</si>
  <si>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</si>
  <si>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</si>
  <si>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</si>
  <si>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</si>
  <si>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</si>
  <si>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</si>
  <si>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E006</t>
  </si>
  <si>
    <t>Maria Lopez</t>
  </si>
  <si>
    <t>Marketing</t>
  </si>
  <si>
    <t>Chennai</t>
  </si>
  <si>
    <t>E007</t>
  </si>
  <si>
    <t>John Paul</t>
  </si>
  <si>
    <t>E008</t>
  </si>
  <si>
    <t>Khushi Jain</t>
  </si>
  <si>
    <t>E009</t>
  </si>
  <si>
    <t>Rohan Mehta</t>
  </si>
  <si>
    <t>Hyderabad</t>
  </si>
  <si>
    <t>E010</t>
  </si>
  <si>
    <t>Aman Verma</t>
  </si>
  <si>
    <t>Task 1 - INDEX + MATCH</t>
  </si>
  <si>
    <t>1.Find the salary of the employee with Emp ID “E006”.</t>
  </si>
  <si>
    <t>{=INDEX(D2:D11,MATCH(I13,A2:A11,0))}</t>
  </si>
  <si>
    <t>2.Find the department of “John Paul” using MATCH + INDEX.</t>
  </si>
  <si>
    <t>{=INDEX(C2:C11,MATCH(I15,B2:B11,0))}</t>
  </si>
  <si>
    <t>Task 2 - SORT / SORTBY</t>
  </si>
  <si>
    <t>1.Sort the entire table by Salary in descending order using SORT.</t>
  </si>
  <si>
    <t>EMPID</t>
  </si>
  <si>
    <t>EMP NAME</t>
  </si>
  <si>
    <t>DEPT</t>
  </si>
  <si>
    <t>SALARY</t>
  </si>
  <si>
    <t>CITY</t>
  </si>
  <si>
    <t>JOINING YEAR</t>
  </si>
  <si>
    <t>2.Sort employees alphabetically by Employee Name.</t>
  </si>
  <si>
    <t>3.Sort employees by Department (A–Z) and then Salary (lowest to highest).</t>
  </si>
  <si>
    <t>4.Sort employees by Joining Year (oldest to newest).</t>
  </si>
  <si>
    <t>Task 3 - FILTER</t>
  </si>
  <si>
    <t>1.Filter only employees who work in the IT department.</t>
  </si>
  <si>
    <t>2.Filter employees who earn more than 60,000.</t>
  </si>
  <si>
    <t>3.Filter employees located in Delhi.</t>
  </si>
  <si>
    <t>Task 4 - UNIQUE / SEQUENCE</t>
  </si>
  <si>
    <t>1.Return a list of unique departments using UNIQUE.</t>
  </si>
  <si>
    <t>2.Generate a sequence of joining years from 2018 to 2023 using SEQUENCE.</t>
  </si>
  <si>
    <t>Task 5 - RANDARRAY</t>
  </si>
  <si>
    <t>1.Generate 10 random salary values between 40,000 and 80,000 using RANDARRAY.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</si>
</sst>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4"/>
      <color rgb="FF1155CC"/>
      <name val="Arial"/>
      <scheme val="minor"/>
    </font>
    <font>
      <b/>
      <sz val="14"/>
      <color rgb="FF1155CC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9"/>
  <sheetViews>
    <sheetView tabSelected="1" topLeftCell="E104" workbookViewId="0">
      <selection activeCell="H109" sqref="H109"/>
    </sheetView>
  </sheetViews>
  <sheetFormatPr defaultColWidth="12.5703125" defaultRowHeight="15.75" customHeight="1"/>
  <cols>
    <col min="2" max="2" width="15" customWidth="1"/>
    <col min="8" max="8" width="48.42578125" customWidth="1"/>
    <col min="9" max="9" width="11.85546875" customWidth="1"/>
    <col min="11" max="11" width="35.42578125" bestFit="1" customWidth="1"/>
    <col min="13" max="13" width="14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4"/>
    </row>
    <row r="2" spans="1:11">
      <c r="A2" s="2" t="s">
        <v>6</v>
      </c>
      <c r="B2" s="2" t="s">
        <v>7</v>
      </c>
      <c r="C2" s="2" t="s">
        <v>8</v>
      </c>
      <c r="D2" s="3">
        <v>55000</v>
      </c>
      <c r="E2" s="2" t="s">
        <v>9</v>
      </c>
      <c r="F2" s="3">
        <v>2021</v>
      </c>
    </row>
    <row r="3" spans="1:11">
      <c r="A3" s="2" t="s">
        <v>10</v>
      </c>
      <c r="B3" s="2" t="s">
        <v>11</v>
      </c>
      <c r="C3" s="2" t="s">
        <v>12</v>
      </c>
      <c r="D3" s="3">
        <v>48000</v>
      </c>
      <c r="E3" s="2" t="s">
        <v>13</v>
      </c>
      <c r="F3" s="3">
        <v>2019</v>
      </c>
    </row>
    <row r="4" spans="1:11">
      <c r="A4" s="2" t="s">
        <v>14</v>
      </c>
      <c r="B4" s="2" t="s">
        <v>15</v>
      </c>
      <c r="C4" s="2" t="s">
        <v>16</v>
      </c>
      <c r="D4" s="3">
        <v>72000</v>
      </c>
      <c r="E4" s="2" t="s">
        <v>17</v>
      </c>
      <c r="F4" s="3">
        <v>2020</v>
      </c>
    </row>
    <row r="5" spans="1:11">
      <c r="A5" s="2" t="s">
        <v>18</v>
      </c>
      <c r="B5" s="2" t="s">
        <v>19</v>
      </c>
      <c r="C5" s="2" t="s">
        <v>16</v>
      </c>
      <c r="D5" s="3">
        <v>69000</v>
      </c>
      <c r="E5" s="2" t="s">
        <v>20</v>
      </c>
      <c r="F5" s="3">
        <v>2022</v>
      </c>
    </row>
    <row r="6" spans="1:11">
      <c r="A6" s="2" t="s">
        <v>21</v>
      </c>
      <c r="B6" s="2" t="s">
        <v>22</v>
      </c>
      <c r="C6" s="2" t="s">
        <v>23</v>
      </c>
      <c r="D6" s="3">
        <v>58000</v>
      </c>
      <c r="E6" s="2" t="s">
        <v>9</v>
      </c>
      <c r="F6" s="3">
        <v>2021</v>
      </c>
    </row>
    <row r="7" spans="1:11">
      <c r="A7" s="2" t="s">
        <v>24</v>
      </c>
      <c r="B7" s="2" t="s">
        <v>25</v>
      </c>
      <c r="C7" s="2" t="s">
        <v>26</v>
      </c>
      <c r="D7" s="3">
        <v>51000</v>
      </c>
      <c r="E7" s="2" t="s">
        <v>27</v>
      </c>
      <c r="F7" s="3">
        <v>2018</v>
      </c>
    </row>
    <row r="8" spans="1:11">
      <c r="A8" s="2" t="s">
        <v>28</v>
      </c>
      <c r="B8" s="2" t="s">
        <v>29</v>
      </c>
      <c r="C8" s="2" t="s">
        <v>8</v>
      </c>
      <c r="D8" s="3">
        <v>60000</v>
      </c>
      <c r="E8" s="2" t="s">
        <v>13</v>
      </c>
      <c r="F8" s="3">
        <v>2023</v>
      </c>
    </row>
    <row r="9" spans="1:11">
      <c r="A9" s="2" t="s">
        <v>30</v>
      </c>
      <c r="B9" s="2" t="s">
        <v>31</v>
      </c>
      <c r="C9" s="2" t="s">
        <v>12</v>
      </c>
      <c r="D9" s="3">
        <v>47000</v>
      </c>
      <c r="E9" s="2" t="s">
        <v>17</v>
      </c>
      <c r="F9" s="3">
        <v>2022</v>
      </c>
    </row>
    <row r="10" spans="1:11">
      <c r="A10" s="2" t="s">
        <v>32</v>
      </c>
      <c r="B10" s="2" t="s">
        <v>33</v>
      </c>
      <c r="C10" s="2" t="s">
        <v>16</v>
      </c>
      <c r="D10" s="3">
        <v>73000</v>
      </c>
      <c r="E10" s="2" t="s">
        <v>34</v>
      </c>
      <c r="F10" s="3">
        <v>2019</v>
      </c>
    </row>
    <row r="11" spans="1:11">
      <c r="A11" s="2" t="s">
        <v>35</v>
      </c>
      <c r="B11" s="2" t="s">
        <v>36</v>
      </c>
      <c r="C11" s="2" t="s">
        <v>23</v>
      </c>
      <c r="D11" s="3">
        <v>54000</v>
      </c>
      <c r="E11" s="2" t="s">
        <v>9</v>
      </c>
      <c r="F11" s="3">
        <v>2020</v>
      </c>
    </row>
    <row r="12" spans="1:11" ht="15.75" customHeight="1">
      <c r="H12" s="5" t="s">
        <v>37</v>
      </c>
    </row>
    <row r="13" spans="1:11" ht="15.75" customHeight="1">
      <c r="H13" s="6" t="s">
        <v>38</v>
      </c>
      <c r="I13" t="s">
        <v>24</v>
      </c>
      <c r="J13">
        <f>INDEX(D2:D11,MATCH(I13,A2:A11,0))</f>
        <v>51000</v>
      </c>
      <c r="K13" t="s">
        <v>39</v>
      </c>
    </row>
    <row r="15" spans="1:11" ht="27" customHeight="1">
      <c r="H15" s="7" t="s">
        <v>40</v>
      </c>
      <c r="I15" s="6" t="s">
        <v>29</v>
      </c>
      <c r="J15" t="str">
        <f>INDEX(C2:C11,MATCH(I15,B2:B11,0))</f>
        <v>Sales</v>
      </c>
      <c r="K15" t="s">
        <v>41</v>
      </c>
    </row>
    <row r="17" spans="8:13" ht="15.75" customHeight="1">
      <c r="H17" s="4" t="s">
        <v>42</v>
      </c>
    </row>
    <row r="18" spans="8:13" ht="31.5" customHeight="1">
      <c r="H18" s="6" t="s">
        <v>43</v>
      </c>
    </row>
    <row r="19" spans="8:13" ht="15.75" customHeight="1">
      <c r="H19" s="8" t="s">
        <v>44</v>
      </c>
      <c r="I19" s="8" t="s">
        <v>45</v>
      </c>
      <c r="J19" s="8" t="s">
        <v>46</v>
      </c>
      <c r="K19" s="8" t="s">
        <v>47</v>
      </c>
      <c r="L19" s="8" t="s">
        <v>48</v>
      </c>
      <c r="M19" s="8" t="s">
        <v>49</v>
      </c>
    </row>
    <row r="20" spans="8:13" ht="15.75" customHeight="1">
      <c r="H20" t="str" cm="1">
        <f t="array" ref="H20:M29">_xlfn._xlws.SORT(A2:F11,4,-1)</f>
        <v>E009</v>
      </c>
      <c r="I20" t="str">
        <v>Rohan Mehta</v>
      </c>
      <c r="J20" t="str">
        <v>IT</v>
      </c>
      <c r="K20">
        <v>73000</v>
      </c>
      <c r="L20" t="str">
        <v>Hyderabad</v>
      </c>
      <c r="M20">
        <v>2019</v>
      </c>
    </row>
    <row r="21" spans="8:13" ht="15.75" customHeight="1">
      <c r="H21" t="str">
        <v>E003</v>
      </c>
      <c r="I21" t="str">
        <v>David Mathews</v>
      </c>
      <c r="J21" t="str">
        <v>IT</v>
      </c>
      <c r="K21">
        <v>72000</v>
      </c>
      <c r="L21" t="str">
        <v>Bangalore</v>
      </c>
      <c r="M21">
        <v>2020</v>
      </c>
    </row>
    <row r="22" spans="8:13" ht="15.75" customHeight="1">
      <c r="H22" t="str">
        <v>E004</v>
      </c>
      <c r="I22" t="str">
        <v>Priya R</v>
      </c>
      <c r="J22" t="str">
        <v>IT</v>
      </c>
      <c r="K22">
        <v>69000</v>
      </c>
      <c r="L22" t="str">
        <v>Pune</v>
      </c>
      <c r="M22">
        <v>2022</v>
      </c>
    </row>
    <row r="23" spans="8:13" ht="15.75" customHeight="1">
      <c r="H23" t="str">
        <v>E007</v>
      </c>
      <c r="I23" t="str">
        <v>John Paul</v>
      </c>
      <c r="J23" t="str">
        <v>Sales</v>
      </c>
      <c r="K23">
        <v>60000</v>
      </c>
      <c r="L23" t="str">
        <v>Mumbai</v>
      </c>
      <c r="M23">
        <v>2023</v>
      </c>
    </row>
    <row r="24" spans="8:13" ht="15.75" customHeight="1">
      <c r="H24" t="str">
        <v>E005</v>
      </c>
      <c r="I24" t="str">
        <v>Sunil Kumar</v>
      </c>
      <c r="J24" t="str">
        <v>Finance</v>
      </c>
      <c r="K24">
        <v>58000</v>
      </c>
      <c r="L24" t="str">
        <v>Delhi</v>
      </c>
      <c r="M24">
        <v>2021</v>
      </c>
    </row>
    <row r="25" spans="8:13" ht="15.75" customHeight="1">
      <c r="H25" t="str">
        <v>E001</v>
      </c>
      <c r="I25" t="str">
        <v>Rahul Sharma</v>
      </c>
      <c r="J25" t="str">
        <v>Sales</v>
      </c>
      <c r="K25">
        <v>55000</v>
      </c>
      <c r="L25" t="str">
        <v>Delhi</v>
      </c>
      <c r="M25">
        <v>2021</v>
      </c>
    </row>
    <row r="26" spans="8:13" ht="15.75" customHeight="1">
      <c r="H26" t="str">
        <v>E010</v>
      </c>
      <c r="I26" t="str">
        <v>Aman Verma</v>
      </c>
      <c r="J26" t="str">
        <v>Finance</v>
      </c>
      <c r="K26">
        <v>54000</v>
      </c>
      <c r="L26" t="str">
        <v>Delhi</v>
      </c>
      <c r="M26">
        <v>2020</v>
      </c>
    </row>
    <row r="27" spans="8:13" ht="15.75" customHeight="1">
      <c r="H27" t="str">
        <v>E006</v>
      </c>
      <c r="I27" t="str">
        <v>Maria Lopez</v>
      </c>
      <c r="J27" t="str">
        <v>Marketing</v>
      </c>
      <c r="K27">
        <v>51000</v>
      </c>
      <c r="L27" t="str">
        <v>Chennai</v>
      </c>
      <c r="M27">
        <v>2018</v>
      </c>
    </row>
    <row r="28" spans="8:13" ht="15.75" customHeight="1">
      <c r="H28" t="str">
        <v>E002</v>
      </c>
      <c r="I28" t="str">
        <v>Anita Singh</v>
      </c>
      <c r="J28" t="str">
        <v>HR</v>
      </c>
      <c r="K28">
        <v>48000</v>
      </c>
      <c r="L28" t="str">
        <v>Mumbai</v>
      </c>
      <c r="M28">
        <v>2019</v>
      </c>
    </row>
    <row r="29" spans="8:13" ht="15.75" customHeight="1">
      <c r="H29" t="str">
        <v>E008</v>
      </c>
      <c r="I29" t="str">
        <v>Khushi Jain</v>
      </c>
      <c r="J29" t="str">
        <v>HR</v>
      </c>
      <c r="K29">
        <v>47000</v>
      </c>
      <c r="L29" t="str">
        <v>Bangalore</v>
      </c>
      <c r="M29">
        <v>2022</v>
      </c>
    </row>
    <row r="31" spans="8:13" ht="15.75" customHeight="1">
      <c r="H31" t="s">
        <v>50</v>
      </c>
    </row>
    <row r="32" spans="8:13" ht="15.75" customHeight="1">
      <c r="H32" s="8" t="s">
        <v>44</v>
      </c>
      <c r="I32" s="8" t="s">
        <v>45</v>
      </c>
      <c r="J32" s="8" t="s">
        <v>46</v>
      </c>
      <c r="K32" s="8" t="s">
        <v>47</v>
      </c>
      <c r="L32" s="8" t="s">
        <v>48</v>
      </c>
      <c r="M32" s="8" t="s">
        <v>49</v>
      </c>
    </row>
    <row r="33" spans="8:13" ht="15.75" customHeight="1">
      <c r="H33" t="str" cm="1">
        <f t="array" ref="H33:M42">_xlfn._xlws.SORT(A2:F11,2,1)</f>
        <v>E010</v>
      </c>
      <c r="I33" t="str">
        <v>Aman Verma</v>
      </c>
      <c r="J33" t="str">
        <v>Finance</v>
      </c>
      <c r="K33">
        <v>54000</v>
      </c>
      <c r="L33" t="str">
        <v>Delhi</v>
      </c>
      <c r="M33">
        <v>2020</v>
      </c>
    </row>
    <row r="34" spans="8:13" ht="15.75" customHeight="1">
      <c r="H34" t="str">
        <v>E002</v>
      </c>
      <c r="I34" t="str">
        <v>Anita Singh</v>
      </c>
      <c r="J34" t="str">
        <v>HR</v>
      </c>
      <c r="K34">
        <v>48000</v>
      </c>
      <c r="L34" t="str">
        <v>Mumbai</v>
      </c>
      <c r="M34">
        <v>2019</v>
      </c>
    </row>
    <row r="35" spans="8:13" ht="15.75" customHeight="1">
      <c r="H35" t="str">
        <v>E003</v>
      </c>
      <c r="I35" t="str">
        <v>David Mathews</v>
      </c>
      <c r="J35" t="str">
        <v>IT</v>
      </c>
      <c r="K35">
        <v>72000</v>
      </c>
      <c r="L35" t="str">
        <v>Bangalore</v>
      </c>
      <c r="M35">
        <v>2020</v>
      </c>
    </row>
    <row r="36" spans="8:13" ht="15.75" customHeight="1">
      <c r="H36" t="str">
        <v>E007</v>
      </c>
      <c r="I36" t="str">
        <v>John Paul</v>
      </c>
      <c r="J36" t="str">
        <v>Sales</v>
      </c>
      <c r="K36">
        <v>60000</v>
      </c>
      <c r="L36" t="str">
        <v>Mumbai</v>
      </c>
      <c r="M36">
        <v>2023</v>
      </c>
    </row>
    <row r="37" spans="8:13" ht="15.75" customHeight="1">
      <c r="H37" t="str">
        <v>E008</v>
      </c>
      <c r="I37" t="str">
        <v>Khushi Jain</v>
      </c>
      <c r="J37" t="str">
        <v>HR</v>
      </c>
      <c r="K37">
        <v>47000</v>
      </c>
      <c r="L37" t="str">
        <v>Bangalore</v>
      </c>
      <c r="M37">
        <v>2022</v>
      </c>
    </row>
    <row r="38" spans="8:13" ht="15.75" customHeight="1">
      <c r="H38" t="str">
        <v>E006</v>
      </c>
      <c r="I38" t="str">
        <v>Maria Lopez</v>
      </c>
      <c r="J38" t="str">
        <v>Marketing</v>
      </c>
      <c r="K38">
        <v>51000</v>
      </c>
      <c r="L38" t="str">
        <v>Chennai</v>
      </c>
      <c r="M38">
        <v>2018</v>
      </c>
    </row>
    <row r="39" spans="8:13" ht="15.75" customHeight="1">
      <c r="H39" t="str">
        <v>E004</v>
      </c>
      <c r="I39" t="str">
        <v>Priya R</v>
      </c>
      <c r="J39" t="str">
        <v>IT</v>
      </c>
      <c r="K39">
        <v>69000</v>
      </c>
      <c r="L39" t="str">
        <v>Pune</v>
      </c>
      <c r="M39">
        <v>2022</v>
      </c>
    </row>
    <row r="40" spans="8:13" ht="15.75" customHeight="1">
      <c r="H40" t="str">
        <v>E001</v>
      </c>
      <c r="I40" t="str">
        <v>Rahul Sharma</v>
      </c>
      <c r="J40" t="str">
        <v>Sales</v>
      </c>
      <c r="K40">
        <v>55000</v>
      </c>
      <c r="L40" t="str">
        <v>Delhi</v>
      </c>
      <c r="M40">
        <v>2021</v>
      </c>
    </row>
    <row r="41" spans="8:13" ht="15.75" customHeight="1">
      <c r="H41" t="str">
        <v>E009</v>
      </c>
      <c r="I41" t="str">
        <v>Rohan Mehta</v>
      </c>
      <c r="J41" t="str">
        <v>IT</v>
      </c>
      <c r="K41">
        <v>73000</v>
      </c>
      <c r="L41" t="str">
        <v>Hyderabad</v>
      </c>
      <c r="M41">
        <v>2019</v>
      </c>
    </row>
    <row r="42" spans="8:13" ht="15.75" customHeight="1">
      <c r="H42" t="str">
        <v>E005</v>
      </c>
      <c r="I42" t="str">
        <v>Sunil Kumar</v>
      </c>
      <c r="J42" t="str">
        <v>Finance</v>
      </c>
      <c r="K42">
        <v>58000</v>
      </c>
      <c r="L42" t="str">
        <v>Delhi</v>
      </c>
      <c r="M42">
        <v>2021</v>
      </c>
    </row>
    <row r="44" spans="8:13" ht="30" customHeight="1">
      <c r="H44" s="6" t="s">
        <v>51</v>
      </c>
    </row>
    <row r="45" spans="8:13" ht="15.75" customHeight="1">
      <c r="H45" s="8" t="s">
        <v>44</v>
      </c>
      <c r="I45" s="8" t="s">
        <v>45</v>
      </c>
      <c r="J45" s="8" t="s">
        <v>46</v>
      </c>
      <c r="K45" s="8" t="s">
        <v>47</v>
      </c>
      <c r="L45" s="8" t="s">
        <v>48</v>
      </c>
      <c r="M45" s="8" t="s">
        <v>49</v>
      </c>
    </row>
    <row r="46" spans="8:13" ht="15.75" customHeight="1">
      <c r="H46" t="str" cm="1">
        <f t="array" ref="H46:M55">_xlfn.SORTBY(A2:F11,D2:D11,1,E2:E11,1)</f>
        <v>E008</v>
      </c>
      <c r="I46" t="str">
        <v>Khushi Jain</v>
      </c>
      <c r="J46" t="str">
        <v>HR</v>
      </c>
      <c r="K46">
        <v>47000</v>
      </c>
      <c r="L46" t="str">
        <v>Bangalore</v>
      </c>
      <c r="M46">
        <v>2022</v>
      </c>
    </row>
    <row r="47" spans="8:13" ht="15.75" customHeight="1">
      <c r="H47" t="str">
        <v>E002</v>
      </c>
      <c r="I47" t="str">
        <v>Anita Singh</v>
      </c>
      <c r="J47" t="str">
        <v>HR</v>
      </c>
      <c r="K47">
        <v>48000</v>
      </c>
      <c r="L47" t="str">
        <v>Mumbai</v>
      </c>
      <c r="M47">
        <v>2019</v>
      </c>
    </row>
    <row r="48" spans="8:13" ht="15.75" customHeight="1">
      <c r="H48" t="str">
        <v>E006</v>
      </c>
      <c r="I48" t="str">
        <v>Maria Lopez</v>
      </c>
      <c r="J48" t="str">
        <v>Marketing</v>
      </c>
      <c r="K48">
        <v>51000</v>
      </c>
      <c r="L48" t="str">
        <v>Chennai</v>
      </c>
      <c r="M48">
        <v>2018</v>
      </c>
    </row>
    <row r="49" spans="8:13" ht="15.75" customHeight="1">
      <c r="H49" t="str">
        <v>E010</v>
      </c>
      <c r="I49" t="str">
        <v>Aman Verma</v>
      </c>
      <c r="J49" t="str">
        <v>Finance</v>
      </c>
      <c r="K49">
        <v>54000</v>
      </c>
      <c r="L49" t="str">
        <v>Delhi</v>
      </c>
      <c r="M49">
        <v>2020</v>
      </c>
    </row>
    <row r="50" spans="8:13" ht="15.75" customHeight="1">
      <c r="H50" t="str">
        <v>E001</v>
      </c>
      <c r="I50" t="str">
        <v>Rahul Sharma</v>
      </c>
      <c r="J50" t="str">
        <v>Sales</v>
      </c>
      <c r="K50">
        <v>55000</v>
      </c>
      <c r="L50" t="str">
        <v>Delhi</v>
      </c>
      <c r="M50">
        <v>2021</v>
      </c>
    </row>
    <row r="51" spans="8:13" ht="15.75" customHeight="1">
      <c r="H51" t="str">
        <v>E005</v>
      </c>
      <c r="I51" t="str">
        <v>Sunil Kumar</v>
      </c>
      <c r="J51" t="str">
        <v>Finance</v>
      </c>
      <c r="K51">
        <v>58000</v>
      </c>
      <c r="L51" t="str">
        <v>Delhi</v>
      </c>
      <c r="M51">
        <v>2021</v>
      </c>
    </row>
    <row r="52" spans="8:13" ht="15.75" customHeight="1">
      <c r="H52" t="str">
        <v>E007</v>
      </c>
      <c r="I52" t="str">
        <v>John Paul</v>
      </c>
      <c r="J52" t="str">
        <v>Sales</v>
      </c>
      <c r="K52">
        <v>60000</v>
      </c>
      <c r="L52" t="str">
        <v>Mumbai</v>
      </c>
      <c r="M52">
        <v>2023</v>
      </c>
    </row>
    <row r="53" spans="8:13" ht="15.75" customHeight="1">
      <c r="H53" t="str">
        <v>E004</v>
      </c>
      <c r="I53" t="str">
        <v>Priya R</v>
      </c>
      <c r="J53" t="str">
        <v>IT</v>
      </c>
      <c r="K53">
        <v>69000</v>
      </c>
      <c r="L53" t="str">
        <v>Pune</v>
      </c>
      <c r="M53">
        <v>2022</v>
      </c>
    </row>
    <row r="54" spans="8:13" ht="15.75" customHeight="1">
      <c r="H54" t="str">
        <v>E003</v>
      </c>
      <c r="I54" t="str">
        <v>David Mathews</v>
      </c>
      <c r="J54" t="str">
        <v>IT</v>
      </c>
      <c r="K54">
        <v>72000</v>
      </c>
      <c r="L54" t="str">
        <v>Bangalore</v>
      </c>
      <c r="M54">
        <v>2020</v>
      </c>
    </row>
    <row r="55" spans="8:13" ht="15.75" customHeight="1">
      <c r="H55" t="str">
        <v>E009</v>
      </c>
      <c r="I55" t="str">
        <v>Rohan Mehta</v>
      </c>
      <c r="J55" t="str">
        <v>IT</v>
      </c>
      <c r="K55">
        <v>73000</v>
      </c>
      <c r="L55" t="str">
        <v>Hyderabad</v>
      </c>
      <c r="M55">
        <v>2019</v>
      </c>
    </row>
    <row r="57" spans="8:13" ht="15.75" customHeight="1">
      <c r="H57" t="s">
        <v>52</v>
      </c>
    </row>
    <row r="58" spans="8:13" ht="15.75" customHeight="1">
      <c r="H58" s="8" t="s">
        <v>44</v>
      </c>
      <c r="I58" s="8" t="s">
        <v>45</v>
      </c>
      <c r="J58" s="8" t="s">
        <v>46</v>
      </c>
      <c r="K58" s="8" t="s">
        <v>47</v>
      </c>
      <c r="L58" s="8" t="s">
        <v>48</v>
      </c>
      <c r="M58" s="8" t="s">
        <v>49</v>
      </c>
    </row>
    <row r="59" spans="8:13" ht="15.75" customHeight="1">
      <c r="H59" t="str" cm="1">
        <f t="array" ref="H59:M68">_xlfn._xlws.SORT(A2:F11,6,1)</f>
        <v>E006</v>
      </c>
      <c r="I59" t="str">
        <v>Maria Lopez</v>
      </c>
      <c r="J59" t="str">
        <v>Marketing</v>
      </c>
      <c r="K59">
        <v>51000</v>
      </c>
      <c r="L59" t="str">
        <v>Chennai</v>
      </c>
      <c r="M59">
        <v>2018</v>
      </c>
    </row>
    <row r="60" spans="8:13" ht="15.75" customHeight="1">
      <c r="H60" t="str">
        <v>E002</v>
      </c>
      <c r="I60" t="str">
        <v>Anita Singh</v>
      </c>
      <c r="J60" t="str">
        <v>HR</v>
      </c>
      <c r="K60">
        <v>48000</v>
      </c>
      <c r="L60" t="str">
        <v>Mumbai</v>
      </c>
      <c r="M60">
        <v>2019</v>
      </c>
    </row>
    <row r="61" spans="8:13" ht="15.75" customHeight="1">
      <c r="H61" t="str">
        <v>E009</v>
      </c>
      <c r="I61" t="str">
        <v>Rohan Mehta</v>
      </c>
      <c r="J61" t="str">
        <v>IT</v>
      </c>
      <c r="K61">
        <v>73000</v>
      </c>
      <c r="L61" t="str">
        <v>Hyderabad</v>
      </c>
      <c r="M61">
        <v>2019</v>
      </c>
    </row>
    <row r="62" spans="8:13" ht="15.75" customHeight="1">
      <c r="H62" t="str">
        <v>E003</v>
      </c>
      <c r="I62" t="str">
        <v>David Mathews</v>
      </c>
      <c r="J62" t="str">
        <v>IT</v>
      </c>
      <c r="K62">
        <v>72000</v>
      </c>
      <c r="L62" t="str">
        <v>Bangalore</v>
      </c>
      <c r="M62">
        <v>2020</v>
      </c>
    </row>
    <row r="63" spans="8:13" ht="15.75" customHeight="1">
      <c r="H63" t="str">
        <v>E010</v>
      </c>
      <c r="I63" t="str">
        <v>Aman Verma</v>
      </c>
      <c r="J63" t="str">
        <v>Finance</v>
      </c>
      <c r="K63">
        <v>54000</v>
      </c>
      <c r="L63" t="str">
        <v>Delhi</v>
      </c>
      <c r="M63">
        <v>2020</v>
      </c>
    </row>
    <row r="64" spans="8:13" ht="15.75" customHeight="1">
      <c r="H64" t="str">
        <v>E001</v>
      </c>
      <c r="I64" t="str">
        <v>Rahul Sharma</v>
      </c>
      <c r="J64" t="str">
        <v>Sales</v>
      </c>
      <c r="K64">
        <v>55000</v>
      </c>
      <c r="L64" t="str">
        <v>Delhi</v>
      </c>
      <c r="M64">
        <v>2021</v>
      </c>
    </row>
    <row r="65" spans="8:13" ht="15.75" customHeight="1">
      <c r="H65" t="str">
        <v>E005</v>
      </c>
      <c r="I65" t="str">
        <v>Sunil Kumar</v>
      </c>
      <c r="J65" t="str">
        <v>Finance</v>
      </c>
      <c r="K65">
        <v>58000</v>
      </c>
      <c r="L65" t="str">
        <v>Delhi</v>
      </c>
      <c r="M65">
        <v>2021</v>
      </c>
    </row>
    <row r="66" spans="8:13" ht="15.75" customHeight="1">
      <c r="H66" t="str">
        <v>E004</v>
      </c>
      <c r="I66" t="str">
        <v>Priya R</v>
      </c>
      <c r="J66" t="str">
        <v>IT</v>
      </c>
      <c r="K66">
        <v>69000</v>
      </c>
      <c r="L66" t="str">
        <v>Pune</v>
      </c>
      <c r="M66">
        <v>2022</v>
      </c>
    </row>
    <row r="67" spans="8:13" ht="15.75" customHeight="1">
      <c r="H67" t="str">
        <v>E008</v>
      </c>
      <c r="I67" t="str">
        <v>Khushi Jain</v>
      </c>
      <c r="J67" t="str">
        <v>HR</v>
      </c>
      <c r="K67">
        <v>47000</v>
      </c>
      <c r="L67" t="str">
        <v>Bangalore</v>
      </c>
      <c r="M67">
        <v>2022</v>
      </c>
    </row>
    <row r="68" spans="8:13" ht="15.75" customHeight="1">
      <c r="H68" t="str">
        <v>E007</v>
      </c>
      <c r="I68" t="str">
        <v>John Paul</v>
      </c>
      <c r="J68" t="str">
        <v>Sales</v>
      </c>
      <c r="K68">
        <v>60000</v>
      </c>
      <c r="L68" t="str">
        <v>Mumbai</v>
      </c>
      <c r="M68">
        <v>2023</v>
      </c>
    </row>
    <row r="70" spans="8:13" ht="15.75" customHeight="1">
      <c r="H70" s="4" t="s">
        <v>53</v>
      </c>
    </row>
    <row r="71" spans="8:13" ht="15.75" customHeight="1">
      <c r="H71" t="s">
        <v>54</v>
      </c>
    </row>
    <row r="72" spans="8:13" ht="15.75" customHeight="1">
      <c r="H72" s="8" t="s">
        <v>44</v>
      </c>
      <c r="I72" s="8" t="s">
        <v>45</v>
      </c>
      <c r="J72" s="8" t="s">
        <v>46</v>
      </c>
      <c r="K72" s="8" t="s">
        <v>47</v>
      </c>
      <c r="L72" s="8" t="s">
        <v>48</v>
      </c>
      <c r="M72" s="8" t="s">
        <v>49</v>
      </c>
    </row>
    <row r="73" spans="8:13" ht="15.75" customHeight="1">
      <c r="H73" t="str" cm="1">
        <f t="array" ref="H73:M75">_xlfn._xlws.FILTER(H59:M68,J59:J68="IT")</f>
        <v>E009</v>
      </c>
      <c r="I73" t="str">
        <v>Rohan Mehta</v>
      </c>
      <c r="J73" t="str">
        <v>IT</v>
      </c>
      <c r="K73">
        <v>73000</v>
      </c>
      <c r="L73" t="str">
        <v>Hyderabad</v>
      </c>
      <c r="M73">
        <v>2019</v>
      </c>
    </row>
    <row r="74" spans="8:13" ht="15.75" customHeight="1">
      <c r="H74" t="str">
        <v>E003</v>
      </c>
      <c r="I74" t="str">
        <v>David Mathews</v>
      </c>
      <c r="J74" t="str">
        <v>IT</v>
      </c>
      <c r="K74">
        <v>72000</v>
      </c>
      <c r="L74" t="str">
        <v>Bangalore</v>
      </c>
      <c r="M74">
        <v>2020</v>
      </c>
    </row>
    <row r="75" spans="8:13" ht="15.75" customHeight="1">
      <c r="H75" t="str">
        <v>E004</v>
      </c>
      <c r="I75" t="str">
        <v>Priya R</v>
      </c>
      <c r="J75" t="str">
        <v>IT</v>
      </c>
      <c r="K75">
        <v>69000</v>
      </c>
      <c r="L75" t="str">
        <v>Pune</v>
      </c>
      <c r="M75">
        <v>2022</v>
      </c>
    </row>
    <row r="77" spans="8:13" ht="15.75" customHeight="1">
      <c r="H77" t="s">
        <v>55</v>
      </c>
    </row>
    <row r="78" spans="8:13" ht="15.75" customHeight="1">
      <c r="H78" s="8" t="s">
        <v>44</v>
      </c>
      <c r="I78" s="8" t="s">
        <v>45</v>
      </c>
      <c r="J78" s="8" t="s">
        <v>46</v>
      </c>
      <c r="K78" s="8" t="s">
        <v>47</v>
      </c>
      <c r="L78" s="8" t="s">
        <v>48</v>
      </c>
      <c r="M78" s="8" t="s">
        <v>49</v>
      </c>
    </row>
    <row r="79" spans="8:13" ht="15.75" customHeight="1">
      <c r="H79" t="str" cm="1">
        <f t="array" ref="H79:M81">_xlfn._xlws.FILTER(H59:M68,K59:K68&gt;60000)</f>
        <v>E009</v>
      </c>
      <c r="I79" t="str">
        <v>Rohan Mehta</v>
      </c>
      <c r="J79" t="str">
        <v>IT</v>
      </c>
      <c r="K79">
        <v>73000</v>
      </c>
      <c r="L79" t="str">
        <v>Hyderabad</v>
      </c>
      <c r="M79">
        <v>2019</v>
      </c>
    </row>
    <row r="80" spans="8:13" ht="15.75" customHeight="1">
      <c r="H80" t="str">
        <v>E003</v>
      </c>
      <c r="I80" t="str">
        <v>David Mathews</v>
      </c>
      <c r="J80" t="str">
        <v>IT</v>
      </c>
      <c r="K80">
        <v>72000</v>
      </c>
      <c r="L80" t="str">
        <v>Bangalore</v>
      </c>
      <c r="M80">
        <v>2020</v>
      </c>
    </row>
    <row r="81" spans="8:13" ht="15.75" customHeight="1">
      <c r="H81" t="str">
        <v>E004</v>
      </c>
      <c r="I81" t="str">
        <v>Priya R</v>
      </c>
      <c r="J81" t="str">
        <v>IT</v>
      </c>
      <c r="K81">
        <v>69000</v>
      </c>
      <c r="L81" t="str">
        <v>Pune</v>
      </c>
      <c r="M81">
        <v>2022</v>
      </c>
    </row>
    <row r="83" spans="8:13" ht="15.75" customHeight="1">
      <c r="H83" t="s">
        <v>56</v>
      </c>
    </row>
    <row r="84" spans="8:13" ht="15.75" customHeight="1">
      <c r="H84" s="8" t="s">
        <v>44</v>
      </c>
      <c r="I84" s="8" t="s">
        <v>45</v>
      </c>
      <c r="J84" s="8" t="s">
        <v>46</v>
      </c>
      <c r="K84" s="8" t="s">
        <v>47</v>
      </c>
      <c r="L84" s="8" t="s">
        <v>48</v>
      </c>
      <c r="M84" s="8" t="s">
        <v>49</v>
      </c>
    </row>
    <row r="85" spans="8:13" ht="15.75" customHeight="1">
      <c r="H85" t="str" cm="1">
        <f t="array" ref="H85:M87">_xlfn._xlws.FILTER(H59:M68,L59:L68="DELHI")</f>
        <v>E010</v>
      </c>
      <c r="I85" t="str">
        <v>Aman Verma</v>
      </c>
      <c r="J85" t="str">
        <v>Finance</v>
      </c>
      <c r="K85">
        <v>54000</v>
      </c>
      <c r="L85" t="str">
        <v>Delhi</v>
      </c>
      <c r="M85">
        <v>2020</v>
      </c>
    </row>
    <row r="86" spans="8:13" ht="15.75" customHeight="1">
      <c r="H86" t="str">
        <v>E001</v>
      </c>
      <c r="I86" t="str">
        <v>Rahul Sharma</v>
      </c>
      <c r="J86" t="str">
        <v>Sales</v>
      </c>
      <c r="K86">
        <v>55000</v>
      </c>
      <c r="L86" t="str">
        <v>Delhi</v>
      </c>
      <c r="M86">
        <v>2021</v>
      </c>
    </row>
    <row r="87" spans="8:13" ht="15.75" customHeight="1">
      <c r="H87" t="str">
        <v>E005</v>
      </c>
      <c r="I87" t="str">
        <v>Sunil Kumar</v>
      </c>
      <c r="J87" t="str">
        <v>Finance</v>
      </c>
      <c r="K87">
        <v>58000</v>
      </c>
      <c r="L87" t="str">
        <v>Delhi</v>
      </c>
      <c r="M87">
        <v>2021</v>
      </c>
    </row>
    <row r="89" spans="8:13" ht="15.75" customHeight="1">
      <c r="H89" s="4" t="s">
        <v>57</v>
      </c>
    </row>
    <row r="90" spans="8:13" ht="15.75" customHeight="1">
      <c r="H90" t="s">
        <v>58</v>
      </c>
    </row>
    <row r="91" spans="8:13" ht="15.75" customHeight="1">
      <c r="H91" s="8" t="s">
        <v>46</v>
      </c>
    </row>
    <row r="92" spans="8:13" ht="15.75" customHeight="1">
      <c r="H92" t="str" cm="1">
        <f t="array" ref="H92:H96">_xlfn.UNIQUE(J59:J68,FALSE)</f>
        <v>Marketing</v>
      </c>
    </row>
    <row r="93" spans="8:13" ht="15.75" customHeight="1">
      <c r="H93" t="str">
        <v>HR</v>
      </c>
    </row>
    <row r="94" spans="8:13" ht="15.75" customHeight="1">
      <c r="H94" t="str">
        <v>IT</v>
      </c>
    </row>
    <row r="95" spans="8:13" ht="15.75" customHeight="1">
      <c r="H95" t="str">
        <v>Finance</v>
      </c>
    </row>
    <row r="96" spans="8:13" ht="15.75" customHeight="1">
      <c r="H96" t="str">
        <v>Sales</v>
      </c>
    </row>
    <row r="98" spans="8:8" ht="29.25" customHeight="1">
      <c r="H98" s="6" t="s">
        <v>59</v>
      </c>
    </row>
    <row r="99" spans="8:8" ht="15.75" customHeight="1">
      <c r="H99" s="8" t="s">
        <v>49</v>
      </c>
    </row>
    <row r="100" spans="8:8" ht="15.75" customHeight="1">
      <c r="H100" cm="1">
        <f t="array" ref="H100:H105">_xlfn.SEQUENCE(6,1,2018,1)</f>
        <v>2018</v>
      </c>
    </row>
    <row r="101" spans="8:8" ht="15.75" customHeight="1">
      <c r="H101">
        <v>2019</v>
      </c>
    </row>
    <row r="102" spans="8:8" ht="15.75" customHeight="1">
      <c r="H102">
        <v>2020</v>
      </c>
    </row>
    <row r="103" spans="8:8" ht="15.75" customHeight="1">
      <c r="H103">
        <v>2021</v>
      </c>
    </row>
    <row r="104" spans="8:8" ht="15.75" customHeight="1">
      <c r="H104">
        <v>2022</v>
      </c>
    </row>
    <row r="105" spans="8:8" ht="15.75" customHeight="1">
      <c r="H105">
        <v>2023</v>
      </c>
    </row>
    <row r="107" spans="8:8" ht="15.75" customHeight="1">
      <c r="H107" s="4" t="s">
        <v>60</v>
      </c>
    </row>
    <row r="108" spans="8:8" ht="33" customHeight="1">
      <c r="H108" s="6" t="s">
        <v>61</v>
      </c>
    </row>
    <row r="109" spans="8:8" ht="15.75" customHeight="1">
      <c r="H109" s="8" t="s">
        <v>47</v>
      </c>
    </row>
    <row r="110" spans="8:8" ht="15.75" customHeight="1">
      <c r="H110" cm="1">
        <f t="array" aca="1" ref="H110:H119" ca="1">_xlfn.RANDARRAY(10,1,40000,80000,TRUE)</f>
        <v>72513</v>
      </c>
    </row>
    <row r="111" spans="8:8" ht="15.75" customHeight="1">
      <c r="H111">
        <f ca="1"/>
        <v>49915</v>
      </c>
    </row>
    <row r="112" spans="8:8" ht="15.75" customHeight="1">
      <c r="H112">
        <f ca="1"/>
        <v>58426</v>
      </c>
    </row>
    <row r="113" spans="8:8" ht="15.75" customHeight="1">
      <c r="H113">
        <f ca="1"/>
        <v>55639</v>
      </c>
    </row>
    <row r="114" spans="8:8" ht="15.75" customHeight="1">
      <c r="H114">
        <f ca="1"/>
        <v>48959</v>
      </c>
    </row>
    <row r="115" spans="8:8" ht="15.75" customHeight="1">
      <c r="H115">
        <f ca="1"/>
        <v>43612</v>
      </c>
    </row>
    <row r="116" spans="8:8" ht="15.75" customHeight="1">
      <c r="H116">
        <f ca="1"/>
        <v>42748</v>
      </c>
    </row>
    <row r="117" spans="8:8" ht="15.75" customHeight="1">
      <c r="H117">
        <f ca="1"/>
        <v>59257</v>
      </c>
    </row>
    <row r="118" spans="8:8" ht="15.75" customHeight="1">
      <c r="H118">
        <f ca="1"/>
        <v>71047</v>
      </c>
    </row>
    <row r="119" spans="8:8" ht="15.75" customHeight="1">
      <c r="H119">
        <f ca="1"/>
        <v>57587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2026-05-15T22:10:12Z</dcterms:created>
  <dcterms:modified xsi:type="dcterms:W3CDTF">2026-05-15T22:10:12Z</dcterms:modified>
  <cp:category/>
  <cp:contentStatus/>
</cp:coreProperties>
</file>